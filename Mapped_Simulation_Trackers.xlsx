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ersonas" sheetId="2" state="visible" r:id="rId4"/>
    <sheet name="Coverage" sheetId="3" state="visible" r:id="rId5"/>
    <sheet name="Issue Log" sheetId="4" state="visible" r:id="rId6"/>
    <sheet name="FactCheck-Astrology" sheetId="5" state="visible" r:id="rId7"/>
    <sheet name="FactCheck-Numerology" sheetId="6" state="visible" r:id="rId8"/>
    <sheet name="FactCheck-HumanDesign" sheetId="7" state="visible" r:id="rId9"/>
    <sheet name="FactCheck-Resonance" sheetId="8" state="visible" r:id="rId10"/>
    <sheet name="Determinism-Cost" sheetId="9" state="visible" r:id="rId11"/>
    <sheet name="Weekly-Run-Log" sheetId="10" state="visible" r:id="rId12"/>
    <sheet name="Deploy-Regressio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<sst xmlns="http://schemas.openxmlformats.org/spreadsheetml/2006/main" count="1528" uniqueCount="636">
  <si>
    <t xml:space="preserve">Mapped — Simulation &amp; Fact-Check Trackers</t>
  </si>
  <si>
    <t xml:space="preserve">How to use</t>
  </si>
  <si>
    <t xml:space="preserve">The companion doc 'Mapped_Simulation_Plan_and_SOP.md' explains the why and how. This workbook is where you record what you find. Fill the YELLOW cells. Each sheet has one italic grey EXAMPLE row — delete it before you start.</t>
  </si>
  <si>
    <t xml:space="preserve">Legend — yellow cell</t>
  </si>
  <si>
    <t xml:space="preserve">You fill it in.</t>
  </si>
  <si>
    <t xml:space="preserve">Legend — EXAMPLE row</t>
  </si>
  <si>
    <t xml:space="preserve">Sample values showing the expected format. Delete before real use.</t>
  </si>
  <si>
    <t xml:space="preserve">Severity</t>
  </si>
  <si>
    <t xml:space="preserve">S1 — Critical (broken / wrong-user data / safety) · S2 — Major (wrong or misleading output) · S3 — Minor (confusing/ugly) · S4 — Trivial (cosmetic).</t>
  </si>
  <si>
    <t xml:space="preserve">Match / Pass values</t>
  </si>
  <si>
    <t xml:space="preserve">Y = matches reference / passes · N = mismatch (log an issue) · — = not applicable / not yet checked.</t>
  </si>
  <si>
    <t xml:space="preserve">Sheet index</t>
  </si>
  <si>
    <t xml:space="preserve">Personas</t>
  </si>
  <si>
    <t xml:space="preserve">The 12 synthetic users, birth data, targets, account, fact-check status.</t>
  </si>
  <si>
    <t xml:space="preserve">Coverage</t>
  </si>
  <si>
    <t xml:space="preserve">Every surface × persona — tick when exercised; each surface needs ≥3 personas.</t>
  </si>
  <si>
    <t xml:space="preserve">Issue Log</t>
  </si>
  <si>
    <t xml:space="preserve">Every defect and every 'doesn't make sense' finding, logged live.</t>
  </si>
  <si>
    <t xml:space="preserve">FactCheck-Astrology</t>
  </si>
  <si>
    <t xml:space="preserve">Big-3, placements, houses vs an independent ephemeris (Astro.com, tropical + Placidus).</t>
  </si>
  <si>
    <t xml:space="preserve">FactCheck-Numerology</t>
  </si>
  <si>
    <t xml:space="preserve">Life Path / Expression / Soul Urge / Personality / Birthday / Maturity vs hand-calc.</t>
  </si>
  <si>
    <t xml:space="preserve">FactCheck-HumanDesign</t>
  </si>
  <si>
    <t xml:space="preserve">Type / Authority / Profile / Definition / centers / channels / design-side gates vs MyBodyGraph.</t>
  </si>
  <si>
    <t xml:space="preserve">FactCheck-Resonance</t>
  </si>
  <si>
    <t xml:space="preserve">Archetype / Animal / Deity / Character — determinism, cost, provenance, face-validity.</t>
  </si>
  <si>
    <t xml:space="preserve">Determinism-Cost</t>
  </si>
  <si>
    <t xml:space="preserve">Does each generated surface regenerate or spend credits on repeat views?</t>
  </si>
  <si>
    <t xml:space="preserve">Weekly-Run-Log</t>
  </si>
  <si>
    <t xml:space="preserve">One row per simulated week / session per persona.</t>
  </si>
  <si>
    <t xml:space="preserve">Deploy-Regression</t>
  </si>
  <si>
    <t xml:space="preserve">Re-checks after each fix/deploy.</t>
  </si>
  <si>
    <t xml:space="preserve">Issue dashboard (auto)</t>
  </si>
  <si>
    <t xml:space="preserve">Total issues logged</t>
  </si>
  <si>
    <t xml:space="preserve">S1 — Critical</t>
  </si>
  <si>
    <t xml:space="preserve">S2 — Major</t>
  </si>
  <si>
    <t xml:space="preserve">S3 — Minor</t>
  </si>
  <si>
    <t xml:space="preserve">S4 — Trivial</t>
  </si>
  <si>
    <t xml:space="preserve">Still Open</t>
  </si>
  <si>
    <t xml:space="preserve">Personas fact-checked</t>
  </si>
  <si>
    <t xml:space="preserve">ID</t>
  </si>
  <si>
    <t xml:space="preserve">Persona</t>
  </si>
  <si>
    <t xml:space="preserve">Birth date</t>
  </si>
  <si>
    <t xml:space="preserve">Birth time</t>
  </si>
  <si>
    <t xml:space="preserve">Birthplace</t>
  </si>
  <si>
    <t xml:space="preserve">Timezone note</t>
  </si>
  <si>
    <t xml:space="preserve">Edge cases / target to confirm</t>
  </si>
  <si>
    <t xml:space="preserve">Account (login)</t>
  </si>
  <si>
    <t xml:space="preserve">Fact-check status</t>
  </si>
  <si>
    <t xml:space="preserve">P01</t>
  </si>
  <si>
    <t xml:space="preserve">Ava Chen</t>
  </si>
  <si>
    <t xml:space="preserve">1990-07-15</t>
  </si>
  <si>
    <t xml:space="preserve">14:30</t>
  </si>
  <si>
    <t xml:space="preserve">New York, USA</t>
  </si>
  <si>
    <t xml:space="preserve">US Eastern, DST on</t>
  </si>
  <si>
    <t xml:space="preserve">Baseline / control; standard 2-word Latin name; Cancer Sun.</t>
  </si>
  <si>
    <t xml:space="preserve">P02</t>
  </si>
  <si>
    <t xml:space="preserve">Mateo Rossi</t>
  </si>
  <si>
    <t xml:space="preserve">1985-10-27</t>
  </si>
  <si>
    <t xml:space="preserve">02:30</t>
  </si>
  <si>
    <t xml:space="preserve">Rome, Italy</t>
  </si>
  <si>
    <t xml:space="preserve">CET, DST fall-back weekend</t>
  </si>
  <si>
    <t xml:space="preserve">Local time that occurs twice — UTC-offset resolution.</t>
  </si>
  <si>
    <t xml:space="preserve">P03</t>
  </si>
  <si>
    <t xml:space="preserve">Zainab Al-Farsi</t>
  </si>
  <si>
    <t xml:space="preserve">1993-02-18</t>
  </si>
  <si>
    <t xml:space="preserve">23:50</t>
  </si>
  <si>
    <t xml:space="preserve">Dubai, UAE</t>
  </si>
  <si>
    <t xml:space="preserve">GST +4, no DST</t>
  </si>
  <si>
    <t xml:space="preserve">Near-midnight (date-rollover); name with particle/hyphen.</t>
  </si>
  <si>
    <t xml:space="preserve">P04</t>
  </si>
  <si>
    <t xml:space="preserve">Freya Þórsdóttir</t>
  </si>
  <si>
    <t xml:space="preserve">1998-12-21</t>
  </si>
  <si>
    <t xml:space="preserve">03:10</t>
  </si>
  <si>
    <t xml:space="preserve">Reykjavík, Iceland</t>
  </si>
  <si>
    <t xml:space="preserve">GMT+0</t>
  </si>
  <si>
    <t xml:space="preserve">High latitude (Placidus distortion, intercepted signs); non-ASCII name → numerology transliteration.</t>
  </si>
  <si>
    <t xml:space="preserve">P05</t>
  </si>
  <si>
    <t xml:space="preserve">Kwame Mensah</t>
  </si>
  <si>
    <t xml:space="preserve">1979-12-31</t>
  </si>
  <si>
    <t xml:space="preserve">23:55</t>
  </si>
  <si>
    <t xml:space="preserve">Accra, Ghana</t>
  </si>
  <si>
    <t xml:space="preserve">Year-boundary birth; equatorial; pre-1980 historical TZ.</t>
  </si>
  <si>
    <t xml:space="preserve">P06</t>
  </si>
  <si>
    <t xml:space="preserve">Mia Nakamura</t>
  </si>
  <si>
    <t xml:space="preserve">2000-02-29</t>
  </si>
  <si>
    <t xml:space="preserve">12:00</t>
  </si>
  <si>
    <t xml:space="preserve">Tokyo, Japan</t>
  </si>
  <si>
    <t xml:space="preserve">JST +9, no DST</t>
  </si>
  <si>
    <t xml:space="preserve">Leap day (Feb 29); exact noon.</t>
  </si>
  <si>
    <t xml:space="preserve">P07</t>
  </si>
  <si>
    <t xml:space="preserve">Lucas Silva</t>
  </si>
  <si>
    <t xml:space="preserve">1988-02-05</t>
  </si>
  <si>
    <t xml:space="preserve">21:40</t>
  </si>
  <si>
    <t xml:space="preserve">São Paulo, Brazil</t>
  </si>
  <si>
    <t xml:space="preserve">BRT, historical summer-time</t>
  </si>
  <si>
    <t xml:space="preserve">Southern hemisphere; Brazil DST whose rules changed.</t>
  </si>
  <si>
    <t xml:space="preserve">P08</t>
  </si>
  <si>
    <t xml:space="preserve">Priya Nair</t>
  </si>
  <si>
    <t xml:space="preserve">1995-09-05</t>
  </si>
  <si>
    <t xml:space="preserve">18:20</t>
  </si>
  <si>
    <t xml:space="preserve">Mumbai, India</t>
  </si>
  <si>
    <t xml:space="preserve">IST +5:30</t>
  </si>
  <si>
    <t xml:space="preserve">Half-hour (non-integer) timezone offset.</t>
  </si>
  <si>
    <t xml:space="preserve">P09</t>
  </si>
  <si>
    <t xml:space="preserve">Sam Rivers</t>
  </si>
  <si>
    <t xml:space="preserve">1992-04-04</t>
  </si>
  <si>
    <t xml:space="preserve">UNKNOWN</t>
  </si>
  <si>
    <t xml:space="preserve">Denver, USA</t>
  </si>
  <si>
    <t xml:space="preserve">US Mountain</t>
  </si>
  <si>
    <t xml:space="preserve">Unknown birth time → no Rising, no Human Design; tests degraded 'no-birth-time' path everywhere.</t>
  </si>
  <si>
    <t xml:space="preserve">P10</t>
  </si>
  <si>
    <t xml:space="preserve">Noor Haddad</t>
  </si>
  <si>
    <t xml:space="preserve">1990-06-13</t>
  </si>
  <si>
    <t xml:space="preserve">08:15</t>
  </si>
  <si>
    <t xml:space="preserve">Beirut, Lebanon</t>
  </si>
  <si>
    <t xml:space="preserve">EET +2</t>
  </si>
  <si>
    <t xml:space="preserve">Master number target (digit-sum 29 → Life Path 11); inspect for karmic-debt numbers.</t>
  </si>
  <si>
    <t xml:space="preserve">P11</t>
  </si>
  <si>
    <t xml:space="preserve">Elena Petrova</t>
  </si>
  <si>
    <t xml:space="preserve">1970-06-13</t>
  </si>
  <si>
    <t xml:space="preserve">10:05</t>
  </si>
  <si>
    <t xml:space="preserve">Moscow, USSR</t>
  </si>
  <si>
    <t xml:space="preserve">MSK, Soviet 'decree time'</t>
  </si>
  <si>
    <t xml:space="preserve">Target Reflector HD type (~1%; confirm, don't force); Soviet-era TZ oddity.</t>
  </si>
  <si>
    <t xml:space="preserve">P12</t>
  </si>
  <si>
    <t xml:space="preserve">Diego Torres-Vega</t>
  </si>
  <si>
    <t xml:space="preserve">1996-04-19</t>
  </si>
  <si>
    <t xml:space="preserve">05:50</t>
  </si>
  <si>
    <t xml:space="preserve">Mexico City, Mexico</t>
  </si>
  <si>
    <t xml:space="preserve">CST</t>
  </si>
  <si>
    <t xml:space="preserve">Sun on Aries/Taurus cusp + dawn birth (rising-cusp warning); hyphenated surname for numerology.</t>
  </si>
  <si>
    <t xml:space="preserve">Surface / feature</t>
  </si>
  <si>
    <t xml:space="preserve"># covered</t>
  </si>
  <si>
    <t xml:space="preserve">≥3?</t>
  </si>
  <si>
    <t xml:space="preserve">Chart / Astrology</t>
  </si>
  <si>
    <t xml:space="preserve">Transits</t>
  </si>
  <si>
    <t xml:space="preserve">Synastry / Connections</t>
  </si>
  <si>
    <t xml:space="preserve">Composite</t>
  </si>
  <si>
    <t xml:space="preserve">Solar Return</t>
  </si>
  <si>
    <t xml:space="preserve">Astrocartography</t>
  </si>
  <si>
    <t xml:space="preserve">Numerology</t>
  </si>
  <si>
    <t xml:space="preserve">Human Design</t>
  </si>
  <si>
    <t xml:space="preserve">Palmistry + share card</t>
  </si>
  <si>
    <t xml:space="preserve">Tarot</t>
  </si>
  <si>
    <t xml:space="preserve">Oracle decks</t>
  </si>
  <si>
    <t xml:space="preserve">Dolly (web)</t>
  </si>
  <si>
    <t xml:space="preserve">Dolly (mobile)</t>
  </si>
  <si>
    <t xml:space="preserve">Journal check-in</t>
  </si>
  <si>
    <t xml:space="preserve">Burn mode</t>
  </si>
  <si>
    <t xml:space="preserve">Voice-to-text</t>
  </si>
  <si>
    <t xml:space="preserve">Photos in entries</t>
  </si>
  <si>
    <t xml:space="preserve">Profile / Resonance</t>
  </si>
  <si>
    <t xml:space="preserve">Animal / Deity / Character cards</t>
  </si>
  <si>
    <t xml:space="preserve">Maps / People</t>
  </si>
  <si>
    <t xml:space="preserve">Home</t>
  </si>
  <si>
    <t xml:space="preserve">Rituals / Learn</t>
  </si>
  <si>
    <t xml:space="preserve">Notifications</t>
  </si>
  <si>
    <t xml:space="preserve">Settings / Theme / Top bar</t>
  </si>
  <si>
    <t xml:space="preserve">Auth / Accounts</t>
  </si>
  <si>
    <t xml:space="preserve">Payments (if live)</t>
  </si>
  <si>
    <t xml:space="preserve">Tick 'x' when a persona exercises a surface (both web &amp; mobile where relevant). Target: every surface ≥3 personas.</t>
  </si>
  <si>
    <t xml:space="preserve">Date</t>
  </si>
  <si>
    <t xml:space="preserve">Platform</t>
  </si>
  <si>
    <t xml:space="preserve">Surface / Feature</t>
  </si>
  <si>
    <t xml:space="preserve">Type</t>
  </si>
  <si>
    <t xml:space="preserve">Title</t>
  </si>
  <si>
    <t xml:space="preserve">Steps to reproduce</t>
  </si>
  <si>
    <t xml:space="preserve">Expected</t>
  </si>
  <si>
    <t xml:space="preserve">Actual</t>
  </si>
  <si>
    <t xml:space="preserve">Status</t>
  </si>
  <si>
    <t xml:space="preserve">Owner</t>
  </si>
  <si>
    <t xml:space="preserve">Fix commit / PR</t>
  </si>
  <si>
    <t xml:space="preserve">Evidence link</t>
  </si>
  <si>
    <t xml:space="preserve">Notes</t>
  </si>
  <si>
    <t xml:space="preserve">I-001</t>
  </si>
  <si>
    <t xml:space="preserve">2026-01-15</t>
  </si>
  <si>
    <t xml:space="preserve">web</t>
  </si>
  <si>
    <t xml:space="preserve">Calc/Data error</t>
  </si>
  <si>
    <t xml:space="preserve">Feb-29 birth shows wrong Sun degree</t>
  </si>
  <si>
    <t xml:space="preserve">Enter P06 birth data; open chart</t>
  </si>
  <si>
    <t xml:space="preserve">Sun ~10° Pisces (per Astro.com)</t>
  </si>
  <si>
    <t xml:space="preserve">Sun shows 9° Aquarius</t>
  </si>
  <si>
    <t xml:space="preserve">Open</t>
  </si>
  <si>
    <t xml:space="preserve">link to screenshot</t>
  </si>
  <si>
    <t xml:space="preserve">Leap-day handling suspected</t>
  </si>
  <si>
    <t xml:space="preserve">2026-08-17</t>
  </si>
  <si>
    <t xml:space="preserve">ALL</t>
  </si>
  <si>
    <t xml:space="preserve">web+mobile</t>
  </si>
  <si>
    <t xml:space="preserve">Zodiac signs never reach the Resonance engine (abbrev vs full names)</t>
  </si>
  <si>
    <t xml:space="preserve">Load any profile; inspect resonance evidence lines</t>
  </si>
  <si>
    <t xml:space="preserve">Sun/Moon/Rising + planet signs contribute to archetype/animal/deity/character</t>
  </si>
  <si>
    <t xml:space="preserve">Charts store 'Gem'/'Sco'; engine tables keyed 'Gemini'/'Scorpio' → all sign features silently dropped. 12/12 personas' results change when fixed; causes visible concentration (Cowardly Lion 5/12).</t>
  </si>
  <si>
    <t xml:space="preserve">Verified</t>
  </si>
  <si>
    <t xml:space="preserve">Claude</t>
  </si>
  <si>
    <t xml:space="preserve">89ac556</t>
  </si>
  <si>
    <t xml:space="preserve">scripts/sim/report.json</t>
  </si>
  <si>
    <t xml:space="preserve">Root cause of concentration; fix = normalize abbrev→full at engine boundary + ENGINE_VERSION bump | FIXED + regression test (tests/simulationRegressions.test.ts); harness re-run confirms.</t>
  </si>
  <si>
    <t xml:space="preserve">I-002</t>
  </si>
  <si>
    <t xml:space="preserve">Unknown birth time still fabricates Rising sign + house placements</t>
  </si>
  <si>
    <t xml:space="preserve">Create chart with unknown time; call calculateChart / read stored planets[].house</t>
  </si>
  <si>
    <t xml:space="preserve">rising=null, houses=[] / null when unknownTime</t>
  </si>
  <si>
    <t xml:space="preserve">calculateChart returns Rising (Cancer), a rising-cusp warning, and real house numbers from an assumed noon. you/page.tsx guards it, but 20 other consumers (dollyDepth, Interpretations, exportChart, WebToday, chartRuler…) don't → Dolly can assert a false Rising/houses.</t>
  </si>
  <si>
    <t xml:space="preserve">scripts/sim/report.json P09</t>
  </si>
  <si>
    <t xml:space="preserve">Fix at source in calculateChart (return null/[] when unknownTime) protects all consumers | FIXED + regression test (tests/simulationRegressions.test.ts); harness re-run confirms.</t>
  </si>
  <si>
    <t xml:space="preserve">I-003</t>
  </si>
  <si>
    <t xml:space="preserve">Non-ASCII letters silently stripped from names → wrong Expression/Soul Urge/Personality</t>
  </si>
  <si>
    <t xml:space="preserve">Enter name 'Freya Þórsdóttir' (or José García, Zoë Müller)</t>
  </si>
  <si>
    <t xml:space="preserve">Letters transliterated (Þ→Th, ó→o) then valued</t>
  </si>
  <si>
    <t xml:space="preserve">parseName does .replace(/[^A-Z]/g,'') → deletes Þ,ó,é,ü,ø… Freya: app Ex1/SU6/Pe4 vs correct Ex5/SU9/Pe5; José García: app Ex11/SU8 vs correct Ex7/SU22 (fake master).</t>
  </si>
  <si>
    <t xml:space="preserve">Add Unicode NFD-strip + explicit map (Þ→TH, ß→SS, Æ→AE, Ø→O…) before A-Z filter | FIXED + regression test (tests/simulationRegressions.test.ts); harness re-run confirms.</t>
  </si>
  <si>
    <t xml:space="preserve">I-004</t>
  </si>
  <si>
    <t xml:space="preserve">—</t>
  </si>
  <si>
    <t xml:space="preserve">UTC offset sampled at noon UTC, ignores birth hour (DST-transition-day edge)</t>
  </si>
  <si>
    <t xml:space="preserve">Birth on a DST switch day, before the switch</t>
  </si>
  <si>
    <t xml:space="preserve">Offset for the actual birth instant</t>
  </si>
  <si>
    <t xml:space="preserve">getUtcOffsetHours uses a fixed 12:00Z reference → wrong side of a same-day switch (~1h → Ascendant off ~15°). NOTE: my P02 premise was wrong (Italy DST ended 29 Sep in 1985), so app was correct for P02; edge remains real but narrow.</t>
  </si>
  <si>
    <t xml:space="preserve">c38ae83</t>
  </si>
  <si>
    <t xml:space="preserve">Sample offset at the actual local birth datetime; verify with a real switch-day birth | FIXED. I-004 verified on US+EU switch days both directions, 12 personas unchanged, regression test added. I-005: profile shows "calculated from &lt;name&gt;" + link to edit.</t>
  </si>
  <si>
    <t xml:space="preserve">I-005</t>
  </si>
  <si>
    <t xml:space="preserve">UX/Confusion</t>
  </si>
  <si>
    <t xml:space="preserve">Numerology name source not surfaced to user</t>
  </si>
  <si>
    <t xml:space="preserve">Open numerology; look for the name used</t>
  </si>
  <si>
    <t xml:space="preserve">App shows/lets you confirm the exact full name feeding the calc</t>
  </si>
  <si>
    <t xml:space="preserve">Name comes from a stored/display string; user can't see or correct it (spec §6.4 #2 / numerology.source_name).</t>
  </si>
  <si>
    <t xml:space="preserve">Show 'calculated from: &lt;name&gt;' + edit affordance | FIXED. I-004 verified on US+EU switch days both directions, 12 personas unchanged, regression test added. I-005: profile shows "calculated from &lt;name&gt;" + link to edit.</t>
  </si>
  <si>
    <t xml:space="preserve">Item</t>
  </si>
  <si>
    <t xml:space="preserve">App value</t>
  </si>
  <si>
    <t xml:space="preserve">Reference value</t>
  </si>
  <si>
    <t xml:space="preserve">Reference (source + settings)</t>
  </si>
  <si>
    <t xml:space="preserve">Match (Y/N/—)</t>
  </si>
  <si>
    <t xml:space="preserve">Sev if mismatch</t>
  </si>
  <si>
    <t xml:space="preserve">Issue ID</t>
  </si>
  <si>
    <t xml:space="preserve">EXAMPLE</t>
  </si>
  <si>
    <t xml:space="preserve">Sun — sign</t>
  </si>
  <si>
    <t xml:space="preserve">Cancer</t>
  </si>
  <si>
    <t xml:space="preserve">Astro.com, tropical + Placidus</t>
  </si>
  <si>
    <t xml:space="preserve">Y</t>
  </si>
  <si>
    <t xml:space="preserve">match</t>
  </si>
  <si>
    <t xml:space="preserve">P01 — Ava Chen</t>
  </si>
  <si>
    <t xml:space="preserve">Can</t>
  </si>
  <si>
    <t xml:space="preserve">indep ephemeris: sign+deg match</t>
  </si>
  <si>
    <t xml:space="preserve">Moon — sign</t>
  </si>
  <si>
    <t xml:space="preserve">Ari</t>
  </si>
  <si>
    <t xml:space="preserve">Rising / Ascendant — sign</t>
  </si>
  <si>
    <t xml:space="preserve">Sco</t>
  </si>
  <si>
    <t xml:space="preserve">Mercury — sign &amp; house</t>
  </si>
  <si>
    <t xml:space="preserve">Leo 7.28° / H9</t>
  </si>
  <si>
    <t xml:space="preserve">Venus — sign &amp; house</t>
  </si>
  <si>
    <t xml:space="preserve">Gem 24.74° / H8</t>
  </si>
  <si>
    <t xml:space="preserve">Mars — sign &amp; house</t>
  </si>
  <si>
    <t xml:space="preserve">Tau 2.12° / H6</t>
  </si>
  <si>
    <t xml:space="preserve">Jupiter — sign &amp; house</t>
  </si>
  <si>
    <t xml:space="preserve">Can 22.61° / H9</t>
  </si>
  <si>
    <t xml:space="preserve">Saturn — sign &amp; house</t>
  </si>
  <si>
    <t xml:space="preserve">Cap 21.94° / H3</t>
  </si>
  <si>
    <t xml:space="preserve">Uranus — sign &amp; house</t>
  </si>
  <si>
    <t xml:space="preserve">Cap 6.96° / H2</t>
  </si>
  <si>
    <t xml:space="preserve">Neptune — sign &amp; house</t>
  </si>
  <si>
    <t xml:space="preserve">Cap 12.91° / H3</t>
  </si>
  <si>
    <t xml:space="preserve">Pluto — sign &amp; house</t>
  </si>
  <si>
    <t xml:space="preserve">Sco 15° / H1</t>
  </si>
  <si>
    <t xml:space="preserve">North Node — sign &amp; house</t>
  </si>
  <si>
    <t xml:space="preserve">Aqu 8.09° / H3</t>
  </si>
  <si>
    <t xml:space="preserve">Chiron — sign &amp; house</t>
  </si>
  <si>
    <t xml:space="preserve">Can 15.79° / H9</t>
  </si>
  <si>
    <t xml:space="preserve">Midheaven (MC) — sign</t>
  </si>
  <si>
    <t xml:space="preserve">Leo 14.37°</t>
  </si>
  <si>
    <t xml:space="preserve">Edge-case behaviour (this persona's target)</t>
  </si>
  <si>
    <t xml:space="preserve">none</t>
  </si>
  <si>
    <t xml:space="preserve">P02 — Mateo Rossi</t>
  </si>
  <si>
    <t xml:space="preserve">Vir</t>
  </si>
  <si>
    <t xml:space="preserve">Sco 23.88° / H3</t>
  </si>
  <si>
    <t xml:space="preserve">Lib 13.06° / H2</t>
  </si>
  <si>
    <t xml:space="preserve">Vir 29.64° / H1</t>
  </si>
  <si>
    <t xml:space="preserve">Aqu 8.04° / H5</t>
  </si>
  <si>
    <t xml:space="preserve">Sco 27.56° / H3</t>
  </si>
  <si>
    <t xml:space="preserve">Sag 15.67° / H4</t>
  </si>
  <si>
    <t xml:space="preserve">Cap 1.38° / H4</t>
  </si>
  <si>
    <t xml:space="preserve">Sco 4.64° / H2</t>
  </si>
  <si>
    <t xml:space="preserve">Tau 9.32° / H9</t>
  </si>
  <si>
    <t xml:space="preserve">Gem 11.58° / H9</t>
  </si>
  <si>
    <t xml:space="preserve">Gem 11.87°</t>
  </si>
  <si>
    <t xml:space="preserve">P03 — Zainab Al-Farsi</t>
  </si>
  <si>
    <t xml:space="preserve">Pis</t>
  </si>
  <si>
    <t xml:space="preserve">Aqu</t>
  </si>
  <si>
    <t xml:space="preserve">Pis 17.93° / H4</t>
  </si>
  <si>
    <t xml:space="preserve">Ari 12.71° / H5</t>
  </si>
  <si>
    <t xml:space="preserve">Can 8.75° / H8</t>
  </si>
  <si>
    <t xml:space="preserve">Lib 14.01° / H11</t>
  </si>
  <si>
    <t xml:space="preserve">Aqu 22.03° / H4</t>
  </si>
  <si>
    <t xml:space="preserve">Cap 20.43° / H3</t>
  </si>
  <si>
    <t xml:space="preserve">Cap 20.11° / H3</t>
  </si>
  <si>
    <t xml:space="preserve">Sco 25.51° / H1</t>
  </si>
  <si>
    <t xml:space="preserve">Sag 17.84° / H2</t>
  </si>
  <si>
    <t xml:space="preserve">Leo 17.72° / H9</t>
  </si>
  <si>
    <t xml:space="preserve">Leo 19.13°</t>
  </si>
  <si>
    <t xml:space="preserve">P04 — Freya Þórsdóttir</t>
  </si>
  <si>
    <t xml:space="preserve">Sag</t>
  </si>
  <si>
    <t xml:space="preserve">Cap</t>
  </si>
  <si>
    <t xml:space="preserve">Lib</t>
  </si>
  <si>
    <t xml:space="preserve">Sag 7.52° / H2</t>
  </si>
  <si>
    <t xml:space="preserve">Cap 11.75° / H3</t>
  </si>
  <si>
    <t xml:space="preserve">Lib 12.86° / H12</t>
  </si>
  <si>
    <t xml:space="preserve">Pis 20.5° / H5</t>
  </si>
  <si>
    <t xml:space="preserve">Ari 26.83° / H7</t>
  </si>
  <si>
    <t xml:space="preserve">Aqu 10.41° / H4</t>
  </si>
  <si>
    <t xml:space="preserve">Aqu 0.68° / H4</t>
  </si>
  <si>
    <t xml:space="preserve">Sag 8.72° / H3</t>
  </si>
  <si>
    <t xml:space="preserve">Leo 24.97° / H10</t>
  </si>
  <si>
    <t xml:space="preserve">Sco 23.39° / H2</t>
  </si>
  <si>
    <t xml:space="preserve">Can 23.21°</t>
  </si>
  <si>
    <t xml:space="preserve">P05 — Kwame Mensah</t>
  </si>
  <si>
    <t xml:space="preserve">Gem</t>
  </si>
  <si>
    <t xml:space="preserve">Sag 27.89° / H4</t>
  </si>
  <si>
    <t xml:space="preserve">Aqu 11.34° / H5</t>
  </si>
  <si>
    <t xml:space="preserve">Vir 13.96° / H12</t>
  </si>
  <si>
    <t xml:space="preserve">Vir 10.2° / H12</t>
  </si>
  <si>
    <t xml:space="preserve">Vir 26.98° / H1</t>
  </si>
  <si>
    <t xml:space="preserve">Sco 24.04° / H2</t>
  </si>
  <si>
    <t xml:space="preserve">Sag 20.92° / H3</t>
  </si>
  <si>
    <t xml:space="preserve">Lib 21.61° / H1</t>
  </si>
  <si>
    <t xml:space="preserve">Vir 1.9° / H12</t>
  </si>
  <si>
    <t xml:space="preserve">Tau 8.02° / H8</t>
  </si>
  <si>
    <t xml:space="preserve">Gem 23.88°</t>
  </si>
  <si>
    <t xml:space="preserve">P06 — Mia Nakamura</t>
  </si>
  <si>
    <t xml:space="preserve">Pis 12.88° / H10</t>
  </si>
  <si>
    <t xml:space="preserve">Aqu 13.49° / H8</t>
  </si>
  <si>
    <t xml:space="preserve">Ari 12.94° / H10</t>
  </si>
  <si>
    <t xml:space="preserve">Tau 2.51° / H11</t>
  </si>
  <si>
    <t xml:space="preserve">Tau 12.34° / H11</t>
  </si>
  <si>
    <t xml:space="preserve">Aqu 18.1° / H9</t>
  </si>
  <si>
    <t xml:space="preserve">Aqu 5.34° / H8</t>
  </si>
  <si>
    <t xml:space="preserve">Sag 12.83° / H6</t>
  </si>
  <si>
    <t xml:space="preserve">Leo 1.94° / H2</t>
  </si>
  <si>
    <t xml:space="preserve">Sag 11.83° / H6</t>
  </si>
  <si>
    <t xml:space="preserve">Pis 11.46°</t>
  </si>
  <si>
    <t xml:space="preserve">rising-cusp warning fired</t>
  </si>
  <si>
    <t xml:space="preserve">P07 — Lucas Silva</t>
  </si>
  <si>
    <t xml:space="preserve">Aqu 26.79° / H6</t>
  </si>
  <si>
    <t xml:space="preserve">Pis 25.76° / H7</t>
  </si>
  <si>
    <t xml:space="preserve">Sag 18.94° / H3</t>
  </si>
  <si>
    <t xml:space="preserve">Ari 24.16° / H7</t>
  </si>
  <si>
    <t xml:space="preserve">Sag 29.29° / H4</t>
  </si>
  <si>
    <t xml:space="preserve">Sag 29.61° / H4</t>
  </si>
  <si>
    <t xml:space="preserve">Cap 9.07° / H4</t>
  </si>
  <si>
    <t xml:space="preserve">Sco 12.56° / H2</t>
  </si>
  <si>
    <t xml:space="preserve">Pis 25.26° / H7</t>
  </si>
  <si>
    <t xml:space="preserve">Gem 20.09° / H9</t>
  </si>
  <si>
    <t xml:space="preserve">Gem 24.23°</t>
  </si>
  <si>
    <t xml:space="preserve">P08 — Priya Nair</t>
  </si>
  <si>
    <t xml:space="preserve">Lib 9.12° / H7</t>
  </si>
  <si>
    <t xml:space="preserve">Vir 16.74° / H7</t>
  </si>
  <si>
    <t xml:space="preserve">Lib 28.84° / H8</t>
  </si>
  <si>
    <t xml:space="preserve">Sag 7.23° / H9</t>
  </si>
  <si>
    <t xml:space="preserve">Pis 22.03° / H1</t>
  </si>
  <si>
    <t xml:space="preserve">Cap 26.91° / H11</t>
  </si>
  <si>
    <t xml:space="preserve">Cap 23.01° / H11</t>
  </si>
  <si>
    <t xml:space="preserve">Sco 28.03° / H9</t>
  </si>
  <si>
    <t xml:space="preserve">Lib 28.66° / H8</t>
  </si>
  <si>
    <t xml:space="preserve">Vir 25.37° / H7</t>
  </si>
  <si>
    <t xml:space="preserve">Sag 11.1°</t>
  </si>
  <si>
    <t xml:space="preserve">P09 — Sam Rivers</t>
  </si>
  <si>
    <t xml:space="preserve">Tau</t>
  </si>
  <si>
    <t xml:space="preserve">(withheld — unknown time)</t>
  </si>
  <si>
    <t xml:space="preserve">I-002 fixed: no fabricated Rising</t>
  </si>
  <si>
    <t xml:space="preserve">Pis 29.65° / H9</t>
  </si>
  <si>
    <t xml:space="preserve">Pis 26.9° / H9</t>
  </si>
  <si>
    <t xml:space="preserve">Pis 5.97° / H8</t>
  </si>
  <si>
    <t xml:space="preserve">Vir 5.66° / H2</t>
  </si>
  <si>
    <t xml:space="preserve">Aqu 16.23° / H7</t>
  </si>
  <si>
    <t xml:space="preserve">Cap 17.89° / H6</t>
  </si>
  <si>
    <t xml:space="preserve">Cap 18.89° / H6</t>
  </si>
  <si>
    <t xml:space="preserve">Sco 22.52° / H5</t>
  </si>
  <si>
    <t xml:space="preserve">Cap 4.78° / H6</t>
  </si>
  <si>
    <t xml:space="preserve">Leo 1.93° / H1</t>
  </si>
  <si>
    <t xml:space="preserve">Ari 14.5°</t>
  </si>
  <si>
    <t xml:space="preserve">rising/houses/MC correctly withheld</t>
  </si>
  <si>
    <t xml:space="preserve">P10 — Noor Haddad</t>
  </si>
  <si>
    <t xml:space="preserve">Gem 1.9° / H11</t>
  </si>
  <si>
    <t xml:space="preserve">Tau 16.1° / H10</t>
  </si>
  <si>
    <t xml:space="preserve">Ari 9.4° / H9</t>
  </si>
  <si>
    <t xml:space="preserve">Can 15.4° / H12</t>
  </si>
  <si>
    <t xml:space="preserve">Cap 24.16° / H6</t>
  </si>
  <si>
    <t xml:space="preserve">Cap 8.25° / H6</t>
  </si>
  <si>
    <t xml:space="preserve">Cap 13.77° / H6</t>
  </si>
  <si>
    <t xml:space="preserve">Sco 15.45° / H4</t>
  </si>
  <si>
    <t xml:space="preserve">Aqu 9.82° / H7</t>
  </si>
  <si>
    <t xml:space="preserve">Can 12.29° / H12</t>
  </si>
  <si>
    <t xml:space="preserve">Ari 16.83°</t>
  </si>
  <si>
    <t xml:space="preserve">P11 — Elena Petrova</t>
  </si>
  <si>
    <t xml:space="preserve">Tau 29.67° / H10</t>
  </si>
  <si>
    <t xml:space="preserve">Can 25.92° / H11</t>
  </si>
  <si>
    <t xml:space="preserve">Can 7.26° / H11</t>
  </si>
  <si>
    <t xml:space="preserve">Lib 26.22° / H3</t>
  </si>
  <si>
    <t xml:space="preserve">Tau 17.23° / H9</t>
  </si>
  <si>
    <t xml:space="preserve">Lib 4.66° / H2</t>
  </si>
  <si>
    <t xml:space="preserve">Sco 28.91° / H4</t>
  </si>
  <si>
    <t xml:space="preserve">Vir 24.7° / H2</t>
  </si>
  <si>
    <t xml:space="preserve">Pis 6.64° / H7</t>
  </si>
  <si>
    <t xml:space="preserve">Ari 15.5° / H9</t>
  </si>
  <si>
    <t xml:space="preserve">Tau 17.51°</t>
  </si>
  <si>
    <t xml:space="preserve">P12 — Diego Torres-Vega</t>
  </si>
  <si>
    <t xml:space="preserve">Tau 19.1° / H2</t>
  </si>
  <si>
    <t xml:space="preserve">Gem 13.99° / H3</t>
  </si>
  <si>
    <t xml:space="preserve">Ari 19.92° / H1</t>
  </si>
  <si>
    <t xml:space="preserve">Cap 17.3° / H10</t>
  </si>
  <si>
    <t xml:space="preserve">Ari 1.42° / H12</t>
  </si>
  <si>
    <t xml:space="preserve">Aqu 4.43° / H11</t>
  </si>
  <si>
    <t xml:space="preserve">Cap 27.73° / H11</t>
  </si>
  <si>
    <t xml:space="preserve">Sag 2.59° / H8</t>
  </si>
  <si>
    <t xml:space="preserve">Lib 16.64° / H7</t>
  </si>
  <si>
    <t xml:space="preserve">Lib 5.22° / H7</t>
  </si>
  <si>
    <t xml:space="preserve">Cap 1.09°</t>
  </si>
  <si>
    <t xml:space="preserve">Hand-calc value</t>
  </si>
  <si>
    <t xml:space="preserve">Life Path</t>
  </si>
  <si>
    <t xml:space="preserve">11</t>
  </si>
  <si>
    <t xml:space="preserve">master preserved</t>
  </si>
  <si>
    <t xml:space="preserve">Expression</t>
  </si>
  <si>
    <t xml:space="preserve">Soul Urge</t>
  </si>
  <si>
    <t xml:space="preserve">Personality</t>
  </si>
  <si>
    <t xml:space="preserve">Birthday</t>
  </si>
  <si>
    <t xml:space="preserve">Maturity</t>
  </si>
  <si>
    <t xml:space="preserve">Master numbers present (11/22/33)</t>
  </si>
  <si>
    <t xml:space="preserve">[11]</t>
  </si>
  <si>
    <t xml:space="preserve">Karmic-debt numbers (13/14/16/19)</t>
  </si>
  <si>
    <t xml:space="preserve">[14]</t>
  </si>
  <si>
    <t xml:space="preserve">Name string used (exact)</t>
  </si>
  <si>
    <t xml:space="preserve">Reduction method confirmed</t>
  </si>
  <si>
    <t xml:space="preserve">Pythagorean, masters kept, Y/M/D reduced separately (verified)</t>
  </si>
  <si>
    <t xml:space="preserve">[]</t>
  </si>
  <si>
    <t xml:space="preserve">[33, 11, 22]</t>
  </si>
  <si>
    <t xml:space="preserve">N</t>
  </si>
  <si>
    <t xml:space="preserve">BUG: non-ASCII letters (Þ,ó) silently stripped → wrong numbers</t>
  </si>
  <si>
    <t xml:space="preserve">[13]</t>
  </si>
  <si>
    <t xml:space="preserve">[16]</t>
  </si>
  <si>
    <t xml:space="preserve">[14, 13]</t>
  </si>
  <si>
    <t xml:space="preserve">[19]</t>
  </si>
  <si>
    <t xml:space="preserve">Pin the method BEFORE calculating: Pythagorean, master numbers 11/22/33 preserved, and confirm which exact NAME STRING the app feeds in (full birth name vs display/account name).</t>
  </si>
  <si>
    <t xml:space="preserve">Reference (MyBodyGraph)</t>
  </si>
  <si>
    <t xml:space="preserve">Projector</t>
  </si>
  <si>
    <t xml:space="preserve">design-side confirmed</t>
  </si>
  <si>
    <t xml:space="preserve">Reflector</t>
  </si>
  <si>
    <t xml:space="preserve">Strategy</t>
  </si>
  <si>
    <t xml:space="preserve">Authority</t>
  </si>
  <si>
    <t xml:space="preserve">Lunar (Reflector)</t>
  </si>
  <si>
    <t xml:space="preserve">Profile (both lines)</t>
  </si>
  <si>
    <t xml:space="preserve">3/5</t>
  </si>
  <si>
    <t xml:space="preserve">Definition</t>
  </si>
  <si>
    <t xml:space="preserve">No Definition</t>
  </si>
  <si>
    <t xml:space="preserve">Defined centers (list)</t>
  </si>
  <si>
    <t xml:space="preserve">(none — Reflector)</t>
  </si>
  <si>
    <t xml:space="preserve">Channels (list)</t>
  </si>
  <si>
    <t xml:space="preserve">(none)</t>
  </si>
  <si>
    <t xml:space="preserve">Personality gates (spot-check ≥3)</t>
  </si>
  <si>
    <t xml:space="preserve">Design-side gates (spot-check ≥3)</t>
  </si>
  <si>
    <t xml:space="preserve">Incarnation cross</t>
  </si>
  <si>
    <t xml:space="preserve">Right Angle Cross (62/61 | 42/32)</t>
  </si>
  <si>
    <t xml:space="preserve">Generator</t>
  </si>
  <si>
    <t xml:space="preserve">Sacral</t>
  </si>
  <si>
    <t xml:space="preserve">2/4</t>
  </si>
  <si>
    <t xml:space="preserve">Single Definition</t>
  </si>
  <si>
    <t xml:space="preserve">g, sacral</t>
  </si>
  <si>
    <t xml:space="preserve">2-14, 29-46</t>
  </si>
  <si>
    <t xml:space="preserve">Right Angle Cross (28/27 | 31/41)</t>
  </si>
  <si>
    <t xml:space="preserve">Manifesting Generator</t>
  </si>
  <si>
    <t xml:space="preserve">Emotional</t>
  </si>
  <si>
    <t xml:space="preserve">1/3</t>
  </si>
  <si>
    <t xml:space="preserve">Split Definition</t>
  </si>
  <si>
    <t xml:space="preserve">throat, heart, sacral, solarPlexus, root</t>
  </si>
  <si>
    <t xml:space="preserve">19-49, 20-34, 21-45</t>
  </si>
  <si>
    <t xml:space="preserve">Right Angle Cross (55/59 | 34/20)</t>
  </si>
  <si>
    <t xml:space="preserve">g, sacral, root</t>
  </si>
  <si>
    <t xml:space="preserve">3-60, 10-34, 29-46</t>
  </si>
  <si>
    <t xml:space="preserve">Right Angle Cross (10/15 | 46/25)</t>
  </si>
  <si>
    <t xml:space="preserve">head, ajna, throat, heart, sacral, solarPlexus, root</t>
  </si>
  <si>
    <t xml:space="preserve">6-59, 21-45, 37-40, 39-55, 47-64</t>
  </si>
  <si>
    <t xml:space="preserve">Right Angle Cross (38/39 | 48/21)</t>
  </si>
  <si>
    <t xml:space="preserve">5/1</t>
  </si>
  <si>
    <t xml:space="preserve">heart, sacral, solarPlexus, spleen</t>
  </si>
  <si>
    <t xml:space="preserve">27-50, 37-40</t>
  </si>
  <si>
    <t xml:space="preserve">Left Angle Cross (37/40 | 5/35)</t>
  </si>
  <si>
    <t xml:space="preserve">Splenic</t>
  </si>
  <si>
    <t xml:space="preserve">4/6</t>
  </si>
  <si>
    <t xml:space="preserve">heart, spleen</t>
  </si>
  <si>
    <t xml:space="preserve">26-44</t>
  </si>
  <si>
    <t xml:space="preserve">Right Angle Cross (13/7 | 1/2)</t>
  </si>
  <si>
    <t xml:space="preserve">throat, sacral, solarPlexus, spleen, root</t>
  </si>
  <si>
    <t xml:space="preserve">3-60, 27-50, 35-36</t>
  </si>
  <si>
    <t xml:space="preserve">Right Angle Cross (64/63 | 35/5)</t>
  </si>
  <si>
    <t xml:space="preserve">WITHHELD (unknown time)</t>
  </si>
  <si>
    <t xml:space="preserve">correct — HD not guessed</t>
  </si>
  <si>
    <t xml:space="preserve">Self-Projected</t>
  </si>
  <si>
    <t xml:space="preserve">6/2</t>
  </si>
  <si>
    <t xml:space="preserve">throat, g</t>
  </si>
  <si>
    <t xml:space="preserve">13-33</t>
  </si>
  <si>
    <t xml:space="preserve">Left Angle Cross (45/26 | 36/6)</t>
  </si>
  <si>
    <t xml:space="preserve">Triple Split Definition</t>
  </si>
  <si>
    <t xml:space="preserve">ajna, throat, g, heart, sacral, solarPlexus</t>
  </si>
  <si>
    <t xml:space="preserve">2-14, 17-62, 37-40</t>
  </si>
  <si>
    <t xml:space="preserve">g, heart, sacral, solarPlexus, spleen, root</t>
  </si>
  <si>
    <t xml:space="preserve">3-60, 25-51, 30-41, 32-54, 34-57</t>
  </si>
  <si>
    <t xml:space="preserve">Right Angle Cross (3/50 | 60/56)</t>
  </si>
  <si>
    <t xml:space="preserve">P09 (unknown time): confirm HD is correctly WITHHELD, not guessed. The design side (88° solar arc) is where HD engines most often err — always spot-check it.</t>
  </si>
  <si>
    <t xml:space="preserve">Check</t>
  </si>
  <si>
    <t xml:space="preserve">Value / result</t>
  </si>
  <si>
    <t xml:space="preserve">Pass (Y/N/—)</t>
  </si>
  <si>
    <t xml:space="preserve">Archetype — primary</t>
  </si>
  <si>
    <t xml:space="preserve">The Gate</t>
  </si>
  <si>
    <t xml:space="preserve">coherent w/ Scorpio 8th</t>
  </si>
  <si>
    <t xml:space="preserve">The Undertow</t>
  </si>
  <si>
    <t xml:space="preserve">signs now reach engine (I-001 fixed)</t>
  </si>
  <si>
    <t xml:space="preserve">Archetype — secondary / 'shaded by'</t>
  </si>
  <si>
    <t xml:space="preserve">The Crossroads</t>
  </si>
  <si>
    <t xml:space="preserve">Animal guide (+ tier)</t>
  </si>
  <si>
    <t xml:space="preserve">Lizard [widely-shared]</t>
  </si>
  <si>
    <t xml:space="preserve">Animal provenance correct? (source + 'Animal Guide' term, within cultural gate)</t>
  </si>
  <si>
    <t xml:space="preserve">Deity (+ tier)</t>
  </si>
  <si>
    <t xml:space="preserve">Loki [open]</t>
  </si>
  <si>
    <t xml:space="preserve">Deity phrasing correct? (living-open = comparative, within cultural gate)</t>
  </si>
  <si>
    <t xml:space="preserve">Character (+ work)</t>
  </si>
  <si>
    <t xml:space="preserve">Mowgli</t>
  </si>
  <si>
    <t xml:space="preserve">Deterministic on reload (identical every time)?</t>
  </si>
  <si>
    <t xml:space="preserve">identical ×2 runs</t>
  </si>
  <si>
    <t xml:space="preserve">No AI-credit spend on reload?</t>
  </si>
  <si>
    <t xml:space="preserve">Face-validity — plausible for this chart? (why)</t>
  </si>
  <si>
    <t xml:space="preserve">Evidence lines cite this persona's real placements?</t>
  </si>
  <si>
    <t xml:space="preserve">Reflector, Cancer Sun, Life Path 5, Scorpio Rising</t>
  </si>
  <si>
    <t xml:space="preserve">Sun/Moon/Rising present</t>
  </si>
  <si>
    <t xml:space="preserve">The Crypt</t>
  </si>
  <si>
    <t xml:space="preserve">The Bedrock</t>
  </si>
  <si>
    <t xml:space="preserve">Crocodile [attested]</t>
  </si>
  <si>
    <t xml:space="preserve">Tlaloc [open]</t>
  </si>
  <si>
    <t xml:space="preserve">Frankenstein's Creature</t>
  </si>
  <si>
    <t xml:space="preserve">Scorpio Sun, Life Path 6, Generator, Virgo Rising</t>
  </si>
  <si>
    <t xml:space="preserve">The Spiral</t>
  </si>
  <si>
    <t xml:space="preserve">The Lens</t>
  </si>
  <si>
    <t xml:space="preserve">Nightingale [attested]</t>
  </si>
  <si>
    <t xml:space="preserve">Ganga [living-open]</t>
  </si>
  <si>
    <t xml:space="preserve">Sydney Carton</t>
  </si>
  <si>
    <t xml:space="preserve">Pisces Sun, Manifesting Generator, Life Path 33, Scorpio Rising</t>
  </si>
  <si>
    <t xml:space="preserve">The Waystone</t>
  </si>
  <si>
    <t xml:space="preserve">The Mask</t>
  </si>
  <si>
    <t xml:space="preserve">Otter [attested]</t>
  </si>
  <si>
    <t xml:space="preserve">Hapi [open]</t>
  </si>
  <si>
    <t xml:space="preserve">Sancho Panza</t>
  </si>
  <si>
    <t xml:space="preserve">Sagittarius Sun, Life Path 6, Generator, Capricorn Moon</t>
  </si>
  <si>
    <t xml:space="preserve">The Scrap</t>
  </si>
  <si>
    <t xml:space="preserve">The Marrow</t>
  </si>
  <si>
    <t xml:space="preserve">Chameleon [widely-shared]</t>
  </si>
  <si>
    <t xml:space="preserve">Enki [open]</t>
  </si>
  <si>
    <t xml:space="preserve">Gulliver</t>
  </si>
  <si>
    <t xml:space="preserve">Capricorn Sun, Life Path 6, Manifesting Generator, Virgo Rising</t>
  </si>
  <si>
    <t xml:space="preserve">The Loom</t>
  </si>
  <si>
    <t xml:space="preserve">The Stitch</t>
  </si>
  <si>
    <t xml:space="preserve">Vulture [attested]</t>
  </si>
  <si>
    <t xml:space="preserve">Saulė [open]</t>
  </si>
  <si>
    <t xml:space="preserve">Sonya</t>
  </si>
  <si>
    <t xml:space="preserve">Pisces Sun, Life Path 6, Generator, Capricorn Moon</t>
  </si>
  <si>
    <t xml:space="preserve">The Web</t>
  </si>
  <si>
    <t xml:space="preserve">The Hourglass</t>
  </si>
  <si>
    <t xml:space="preserve">Owl [attested]</t>
  </si>
  <si>
    <t xml:space="preserve">The Scarecrow</t>
  </si>
  <si>
    <t xml:space="preserve">Aquarius Sun, Projector, Life Path 6, Expression 2</t>
  </si>
  <si>
    <t xml:space="preserve">Dove [attested]</t>
  </si>
  <si>
    <t xml:space="preserve">Inari [living-open]</t>
  </si>
  <si>
    <t xml:space="preserve">Éponine</t>
  </si>
  <si>
    <t xml:space="preserve">Life Path 2, Virgo Sun, Manifesting Generator, Capricorn Moon</t>
  </si>
  <si>
    <t xml:space="preserve">The Altar</t>
  </si>
  <si>
    <t xml:space="preserve">The Eclipse</t>
  </si>
  <si>
    <t xml:space="preserve">Shiva [living-open]</t>
  </si>
  <si>
    <t xml:space="preserve">Cassandra</t>
  </si>
  <si>
    <t xml:space="preserve">Aries Sun, Life Path 11, Taurus Moon, Expression 7</t>
  </si>
  <si>
    <t xml:space="preserve">The Thaw</t>
  </si>
  <si>
    <t xml:space="preserve">Laima [open]</t>
  </si>
  <si>
    <t xml:space="preserve">Projector, Gemini Sun, Life Path 11, Cancer Rising</t>
  </si>
  <si>
    <t xml:space="preserve">The Mortar</t>
  </si>
  <si>
    <t xml:space="preserve">Tortoise [attested]</t>
  </si>
  <si>
    <t xml:space="preserve">Freyr [open]</t>
  </si>
  <si>
    <t xml:space="preserve">Gemini Sun, Life Path 9, Generator, Virgo Rising</t>
  </si>
  <si>
    <t xml:space="preserve">The Hearth</t>
  </si>
  <si>
    <t xml:space="preserve">The Alarm</t>
  </si>
  <si>
    <t xml:space="preserve">Shark [modern-popular]</t>
  </si>
  <si>
    <t xml:space="preserve">Raijin [living-open]</t>
  </si>
  <si>
    <t xml:space="preserve">Achilles</t>
  </si>
  <si>
    <t xml:space="preserve">Aries Sun, Life Path 3, Generator, Taurus Moon</t>
  </si>
  <si>
    <t xml:space="preserve">Surface</t>
  </si>
  <si>
    <t xml:space="preserve">Regenerates on reload? (Y/N)</t>
  </si>
  <si>
    <t xml:space="preserve">Credits before</t>
  </si>
  <si>
    <t xml:space="preserve">Credits after</t>
  </si>
  <si>
    <t xml:space="preserve">Delta</t>
  </si>
  <si>
    <t xml:space="preserve">Pass</t>
  </si>
  <si>
    <t xml:space="preserve">Chart interpretation text</t>
  </si>
  <si>
    <t xml:space="preserve">Fixed</t>
  </si>
  <si>
    <t xml:space="preserve">Numerology text</t>
  </si>
  <si>
    <t xml:space="preserve">Human Design text</t>
  </si>
  <si>
    <t xml:space="preserve">Placement detail (e.g. 'Mars in 8th')</t>
  </si>
  <si>
    <t xml:space="preserve">Archetype</t>
  </si>
  <si>
    <t xml:space="preserve">Animal guide</t>
  </si>
  <si>
    <t xml:space="preserve">Deity</t>
  </si>
  <si>
    <t xml:space="preserve">Character</t>
  </si>
  <si>
    <t xml:space="preserve">Tarot / Oracle reading (a saved pull)</t>
  </si>
  <si>
    <t xml:space="preserve">Dolly reply</t>
  </si>
  <si>
    <t xml:space="preserve">Time-sensitive</t>
  </si>
  <si>
    <t xml:space="preserve">Today's transits</t>
  </si>
  <si>
    <t xml:space="preserve">Near-future transits</t>
  </si>
  <si>
    <t xml:space="preserve">Fixed surfaces must NOT regenerate and must NOT spend credits on repeat views (delta = 0, regenerates = No). Time-sensitive surfaces may recompute — that's expected and typically free/calculated.</t>
  </si>
  <si>
    <t xml:space="preserve">Session ID</t>
  </si>
  <si>
    <t xml:space="preserve">Sim-week (1–12)</t>
  </si>
  <si>
    <t xml:space="preserve">Surfaces touched</t>
  </si>
  <si>
    <t xml:space="preserve">Issues opened (IDs)</t>
  </si>
  <si>
    <t xml:space="preserve">S-001</t>
  </si>
  <si>
    <t xml:space="preserve">1</t>
  </si>
  <si>
    <t xml:space="preserve">Home, Journal (morning), Tarot→Dolly, Transits</t>
  </si>
  <si>
    <t xml:space="preserve">I-001, I-002</t>
  </si>
  <si>
    <t xml:space="preserve">first pass</t>
  </si>
  <si>
    <t xml:space="preserve">Build / commit</t>
  </si>
  <si>
    <t xml:space="preserve">Issue ID re-tested</t>
  </si>
  <si>
    <t xml:space="preserve">Result</t>
  </si>
  <si>
    <t xml:space="preserve">resonance:validate</t>
  </si>
  <si>
    <t xml:space="preserve">Smoke re-check</t>
  </si>
  <si>
    <t xml:space="preserve">6b048f6</t>
  </si>
  <si>
    <t xml:space="preserve">2026-01-16</t>
  </si>
  <si>
    <t xml:space="preserve">PASS (gates green)</t>
  </si>
  <si>
    <t xml:space="preserve">1 astro line re-checked OK</t>
  </si>
  <si>
    <t xml:space="preserve">leap-day fix verified</t>
  </si>
  <si>
    <t xml:space="preserve">I-001, I-002, I-003</t>
  </si>
  <si>
    <t xml:space="preserve">ALL / P09 / P04</t>
  </si>
  <si>
    <t xml:space="preserve">PASS (3/3 gates)</t>
  </si>
  <si>
    <t xml:space="preserve">70/70 tests; harness: 0/12 personas change abbrev vs full; P09 rising/houses null; José García Ex7/SU22</t>
  </si>
  <si>
    <t xml:space="preserve">All three S2 fixes verified via scripts/sim/run.mts re-run</t>
  </si>
  <si>
    <t xml:space="preserve">I-004, I-005</t>
  </si>
  <si>
    <t xml:space="preserve">switch-day cases / ALL</t>
  </si>
  <si>
    <t xml:space="preserve">PASS (3/3)</t>
  </si>
  <si>
    <t xml:space="preserve">71/71 tests; 12 personas byte-identical after I-004; profile name line renders</t>
  </si>
  <si>
    <t xml:space="preserve">DST offset now resolved at birth instant; numerology name surfaced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</si>
</sst>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A8A8A"/>
      <name val="Arial"/>
      <family val="0"/>
      <charset val="1"/>
    </font>
    <font>
      <b val="true"/>
      <sz val="11"/>
      <color rgb="FFF0E6D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DE6D6"/>
        <bgColor rgb="FFF0E6D2"/>
      </patternFill>
    </fill>
    <fill>
      <patternFill patternType="solid">
        <fgColor rgb="FFFFF7D6"/>
        <bgColor rgb="FFF0E6D2"/>
      </patternFill>
    </fill>
    <fill>
      <patternFill patternType="solid">
        <fgColor rgb="FF2D2A26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4"/>
      </left>
      <right style="thin">
        <color rgb="FFD9D2C4"/>
      </right>
      <top style="thin">
        <color rgb="FFD9D2C4"/>
      </top>
      <bottom style="thin">
        <color rgb="FFD9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6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4"/>
      <rgbColor rgb="FF8A8A8A"/>
      <rgbColor rgb="FF9999FF"/>
      <rgbColor rgb="FF993366"/>
      <rgbColor rgb="FFFFF7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0E6D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2A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0"/>
    <col collapsed="false" customWidth="true" hidden="false" outlineLevel="0" max="5" min="3" style="1" width="22"/>
    <col collapsed="false" customWidth="true" hidden="false" outlineLevel="0" max="6" min="6" style="1" width="40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/>
      <c r="B2" s="3"/>
      <c r="C2" s="3"/>
      <c r="D2" s="3"/>
      <c r="E2" s="3"/>
      <c r="F2" s="3"/>
    </row>
    <row r="3" customFormat="false" ht="23.25" hidden="false" customHeight="true" outlineLevel="0" collapsed="false">
      <c r="A3" s="4" t="s">
        <v>1</v>
      </c>
      <c r="B3" s="3" t="s">
        <v>2</v>
      </c>
      <c r="C3" s="3"/>
      <c r="D3" s="3"/>
      <c r="E3" s="3"/>
      <c r="F3" s="3"/>
    </row>
    <row r="4" customFormat="false" ht="15" hidden="false" customHeight="true" outlineLevel="0" collapsed="false">
      <c r="A4" s="5" t="s">
        <v>3</v>
      </c>
      <c r="B4" s="3" t="s">
        <v>4</v>
      </c>
      <c r="C4" s="3"/>
      <c r="D4" s="3"/>
      <c r="E4" s="3"/>
      <c r="F4" s="3"/>
    </row>
    <row r="5" customFormat="false" ht="15" hidden="false" customHeight="true" outlineLevel="0" collapsed="false">
      <c r="A5" s="6" t="s">
        <v>5</v>
      </c>
      <c r="B5" s="3" t="s">
        <v>6</v>
      </c>
      <c r="C5" s="3"/>
      <c r="D5" s="3"/>
      <c r="E5" s="3"/>
      <c r="F5" s="3"/>
    </row>
    <row r="6" customFormat="false" ht="15" hidden="false" customHeight="true" outlineLevel="0" collapsed="false">
      <c r="A6" s="7" t="s">
        <v>7</v>
      </c>
      <c r="B6" s="3" t="s">
        <v>8</v>
      </c>
      <c r="C6" s="3"/>
      <c r="D6" s="3"/>
      <c r="E6" s="3"/>
      <c r="F6" s="3"/>
    </row>
    <row r="7" customFormat="false" ht="15" hidden="false" customHeight="true" outlineLevel="0" collapsed="false">
      <c r="A7" s="7" t="s">
        <v>9</v>
      </c>
      <c r="B7" s="3" t="s">
        <v>10</v>
      </c>
      <c r="C7" s="3"/>
      <c r="D7" s="3"/>
      <c r="E7" s="3"/>
      <c r="F7" s="3"/>
    </row>
    <row r="9" customFormat="false" ht="15" hidden="false" customHeight="true" outlineLevel="0" collapsed="false">
      <c r="A9" s="4" t="s">
        <v>11</v>
      </c>
      <c r="B9" s="4"/>
      <c r="C9" s="4"/>
      <c r="D9" s="4"/>
      <c r="E9" s="4"/>
      <c r="F9" s="4"/>
    </row>
    <row r="10" customFormat="false" ht="15" hidden="false" customHeight="true" outlineLevel="0" collapsed="false">
      <c r="A10" s="7" t="s">
        <v>12</v>
      </c>
      <c r="B10" s="3" t="s">
        <v>13</v>
      </c>
      <c r="C10" s="3"/>
      <c r="D10" s="3"/>
      <c r="E10" s="3"/>
      <c r="F10" s="3"/>
    </row>
    <row r="11" customFormat="false" ht="15" hidden="false" customHeight="true" outlineLevel="0" collapsed="false">
      <c r="A11" s="7" t="s">
        <v>14</v>
      </c>
      <c r="B11" s="3" t="s">
        <v>15</v>
      </c>
      <c r="C11" s="3"/>
      <c r="D11" s="3"/>
      <c r="E11" s="3"/>
      <c r="F11" s="3"/>
    </row>
    <row r="12" customFormat="false" ht="15" hidden="false" customHeight="true" outlineLevel="0" collapsed="false">
      <c r="A12" s="7" t="s">
        <v>16</v>
      </c>
      <c r="B12" s="3" t="s">
        <v>17</v>
      </c>
      <c r="C12" s="3"/>
      <c r="D12" s="3"/>
      <c r="E12" s="3"/>
      <c r="F12" s="3"/>
    </row>
    <row r="13" customFormat="false" ht="15" hidden="false" customHeight="true" outlineLevel="0" collapsed="false">
      <c r="A13" s="7" t="s">
        <v>18</v>
      </c>
      <c r="B13" s="3" t="s">
        <v>19</v>
      </c>
      <c r="C13" s="3"/>
      <c r="D13" s="3"/>
      <c r="E13" s="3"/>
      <c r="F13" s="3"/>
    </row>
    <row r="14" customFormat="false" ht="15" hidden="false" customHeight="true" outlineLevel="0" collapsed="false">
      <c r="A14" s="7" t="s">
        <v>20</v>
      </c>
      <c r="B14" s="3" t="s">
        <v>21</v>
      </c>
      <c r="C14" s="3"/>
      <c r="D14" s="3"/>
      <c r="E14" s="3"/>
      <c r="F14" s="3"/>
    </row>
    <row r="15" customFormat="false" ht="15" hidden="false" customHeight="true" outlineLevel="0" collapsed="false">
      <c r="A15" s="7" t="s">
        <v>22</v>
      </c>
      <c r="B15" s="3" t="s">
        <v>23</v>
      </c>
      <c r="C15" s="3"/>
      <c r="D15" s="3"/>
      <c r="E15" s="3"/>
      <c r="F15" s="3"/>
    </row>
    <row r="16" customFormat="false" ht="15" hidden="false" customHeight="true" outlineLevel="0" collapsed="false">
      <c r="A16" s="7" t="s">
        <v>24</v>
      </c>
      <c r="B16" s="3" t="s">
        <v>25</v>
      </c>
      <c r="C16" s="3"/>
      <c r="D16" s="3"/>
      <c r="E16" s="3"/>
      <c r="F16" s="3"/>
    </row>
    <row r="17" customFormat="false" ht="15" hidden="false" customHeight="true" outlineLevel="0" collapsed="false">
      <c r="A17" s="7" t="s">
        <v>26</v>
      </c>
      <c r="B17" s="3" t="s">
        <v>27</v>
      </c>
      <c r="C17" s="3"/>
      <c r="D17" s="3"/>
      <c r="E17" s="3"/>
      <c r="F17" s="3"/>
    </row>
    <row r="18" customFormat="false" ht="15" hidden="false" customHeight="true" outlineLevel="0" collapsed="false">
      <c r="A18" s="7" t="s">
        <v>28</v>
      </c>
      <c r="B18" s="3" t="s">
        <v>29</v>
      </c>
      <c r="C18" s="3"/>
      <c r="D18" s="3"/>
      <c r="E18" s="3"/>
      <c r="F18" s="3"/>
    </row>
    <row r="19" customFormat="false" ht="15" hidden="false" customHeight="true" outlineLevel="0" collapsed="false">
      <c r="A19" s="7" t="s">
        <v>30</v>
      </c>
      <c r="B19" s="3" t="s">
        <v>31</v>
      </c>
      <c r="C19" s="3"/>
      <c r="D19" s="3"/>
      <c r="E19" s="3"/>
      <c r="F19" s="3"/>
    </row>
    <row r="21" customFormat="false" ht="15" hidden="false" customHeight="true" outlineLevel="0" collapsed="false">
      <c r="A21" s="4" t="s">
        <v>32</v>
      </c>
      <c r="B21" s="4"/>
      <c r="C21" s="4"/>
      <c r="D21" s="4"/>
      <c r="E21" s="4"/>
      <c r="F21" s="4"/>
    </row>
    <row r="22" customFormat="false" ht="15" hidden="false" customHeight="true" outlineLevel="0" collapsed="false">
      <c r="A22" s="3" t="s">
        <v>33</v>
      </c>
      <c r="B22" s="8" t="n">
        <f aca="false">COUNTA('Issue Log'!A3:A1000)</f>
        <v>5</v>
      </c>
    </row>
    <row r="23" customFormat="false" ht="15" hidden="false" customHeight="true" outlineLevel="0" collapsed="false">
      <c r="A23" s="3" t="s">
        <v>34</v>
      </c>
      <c r="B23" s="8" t="n">
        <f aca="false">COUNTIF('Issue Log'!G3:G1000,"S1 — Critical")</f>
        <v>0</v>
      </c>
    </row>
    <row r="24" customFormat="false" ht="15" hidden="false" customHeight="true" outlineLevel="0" collapsed="false">
      <c r="A24" s="3" t="s">
        <v>35</v>
      </c>
      <c r="B24" s="8" t="n">
        <f aca="false">COUNTIF('Issue Log'!G3:G1000,"S2 — Major")</f>
        <v>3</v>
      </c>
    </row>
    <row r="25" customFormat="false" ht="15" hidden="false" customHeight="true" outlineLevel="0" collapsed="false">
      <c r="A25" s="3" t="s">
        <v>36</v>
      </c>
      <c r="B25" s="8" t="n">
        <f aca="false">COUNTIF('Issue Log'!G3:G1000,"S3 — Minor")</f>
        <v>2</v>
      </c>
    </row>
    <row r="26" customFormat="false" ht="15" hidden="false" customHeight="true" outlineLevel="0" collapsed="false">
      <c r="A26" s="3" t="s">
        <v>37</v>
      </c>
      <c r="B26" s="8" t="n">
        <f aca="false">COUNTIF('Issue Log'!G3:G1000,"S4 — Trivial")</f>
        <v>0</v>
      </c>
    </row>
    <row r="27" customFormat="false" ht="15" hidden="false" customHeight="true" outlineLevel="0" collapsed="false">
      <c r="A27" s="3" t="s">
        <v>38</v>
      </c>
      <c r="B27" s="8" t="n">
        <f aca="false">COUNTIF('Issue Log'!M3:M1000,"Open")</f>
        <v>0</v>
      </c>
    </row>
    <row r="28" customFormat="false" ht="15" hidden="false" customHeight="true" outlineLevel="0" collapsed="false">
      <c r="A28" s="3" t="s">
        <v>39</v>
      </c>
      <c r="B28" s="8" t="n">
        <f aca="false">COUNTIF(Personas!I2:I13,"Signed off")</f>
        <v>0</v>
      </c>
    </row>
  </sheetData>
  <mergeCells count="19">
    <mergeCell ref="A1:F1"/>
    <mergeCell ref="B2:F2"/>
    <mergeCell ref="B3:F3"/>
    <mergeCell ref="B4:F4"/>
    <mergeCell ref="B5:F5"/>
    <mergeCell ref="B6:F6"/>
    <mergeCell ref="B7:F7"/>
    <mergeCell ref="A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46"/>
    <col collapsed="false" customWidth="true" hidden="false" outlineLevel="0" max="8" min="8" style="1" width="22"/>
    <col collapsed="false" customWidth="true" hidden="false" outlineLevel="0" max="9" min="9" style="1" width="16"/>
  </cols>
  <sheetData>
    <row r="1" customFormat="false" ht="26.25" hidden="false" customHeight="true" outlineLevel="0" collapsed="false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</row>
    <row r="2" customFormat="false" ht="23.25" hidden="false" customHeight="true" outlineLevel="0" collapsed="false">
      <c r="A2" s="3" t="s">
        <v>49</v>
      </c>
      <c r="B2" s="3" t="s">
        <v>50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55</v>
      </c>
      <c r="H2" s="10"/>
      <c r="I2" s="10"/>
    </row>
    <row r="3" customFormat="false" ht="23.25" hidden="false" customHeight="true" outlineLevel="0" collapsed="false">
      <c r="A3" s="3" t="s">
        <v>56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61</v>
      </c>
      <c r="G3" s="3" t="s">
        <v>62</v>
      </c>
      <c r="H3" s="10"/>
      <c r="I3" s="10"/>
    </row>
    <row r="4" customFormat="false" ht="23.25" hidden="false" customHeight="true" outlineLevel="0" collapsed="false">
      <c r="A4" s="3" t="s">
        <v>63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68</v>
      </c>
      <c r="G4" s="3" t="s">
        <v>69</v>
      </c>
      <c r="H4" s="10"/>
      <c r="I4" s="10"/>
    </row>
    <row r="5" customFormat="false" ht="23.25" hidden="false" customHeight="true" outlineLevel="0" collapsed="false">
      <c r="A5" s="3" t="s">
        <v>70</v>
      </c>
      <c r="B5" s="3" t="s">
        <v>71</v>
      </c>
      <c r="C5" s="3" t="s">
        <v>72</v>
      </c>
      <c r="D5" s="3" t="s">
        <v>73</v>
      </c>
      <c r="E5" s="3" t="s">
        <v>74</v>
      </c>
      <c r="F5" s="3" t="s">
        <v>75</v>
      </c>
      <c r="G5" s="3" t="s">
        <v>76</v>
      </c>
      <c r="H5" s="10"/>
      <c r="I5" s="10"/>
    </row>
    <row r="6" customFormat="false" ht="15" hidden="false" customHeight="true" outlineLevel="0" collapsed="false">
      <c r="A6" s="3" t="s">
        <v>77</v>
      </c>
      <c r="B6" s="3" t="s">
        <v>78</v>
      </c>
      <c r="C6" s="3" t="s">
        <v>79</v>
      </c>
      <c r="D6" s="3" t="s">
        <v>80</v>
      </c>
      <c r="E6" s="3" t="s">
        <v>81</v>
      </c>
      <c r="F6" s="3" t="s">
        <v>75</v>
      </c>
      <c r="G6" s="3" t="s">
        <v>82</v>
      </c>
      <c r="H6" s="10"/>
      <c r="I6" s="10"/>
    </row>
    <row r="7" customFormat="false" ht="15" hidden="false" customHeight="true" outlineLevel="0" collapsed="false">
      <c r="A7" s="3" t="s">
        <v>83</v>
      </c>
      <c r="B7" s="3" t="s">
        <v>84</v>
      </c>
      <c r="C7" s="3" t="s">
        <v>85</v>
      </c>
      <c r="D7" s="3" t="s">
        <v>86</v>
      </c>
      <c r="E7" s="3" t="s">
        <v>87</v>
      </c>
      <c r="F7" s="3" t="s">
        <v>88</v>
      </c>
      <c r="G7" s="3" t="s">
        <v>89</v>
      </c>
      <c r="H7" s="10"/>
      <c r="I7" s="10"/>
    </row>
    <row r="8" customFormat="false" ht="23.25" hidden="false" customHeight="true" outlineLevel="0" collapsed="false">
      <c r="A8" s="3" t="s">
        <v>90</v>
      </c>
      <c r="B8" s="3" t="s">
        <v>91</v>
      </c>
      <c r="C8" s="3" t="s">
        <v>92</v>
      </c>
      <c r="D8" s="3" t="s">
        <v>93</v>
      </c>
      <c r="E8" s="3" t="s">
        <v>94</v>
      </c>
      <c r="F8" s="3" t="s">
        <v>95</v>
      </c>
      <c r="G8" s="3" t="s">
        <v>96</v>
      </c>
      <c r="H8" s="10"/>
      <c r="I8" s="10"/>
    </row>
    <row r="9" customFormat="false" ht="15" hidden="false" customHeight="true" outlineLevel="0" collapsed="false">
      <c r="A9" s="3" t="s">
        <v>97</v>
      </c>
      <c r="B9" s="3" t="s">
        <v>98</v>
      </c>
      <c r="C9" s="3" t="s">
        <v>99</v>
      </c>
      <c r="D9" s="3" t="s">
        <v>100</v>
      </c>
      <c r="E9" s="3" t="s">
        <v>101</v>
      </c>
      <c r="F9" s="3" t="s">
        <v>102</v>
      </c>
      <c r="G9" s="3" t="s">
        <v>103</v>
      </c>
      <c r="H9" s="10"/>
      <c r="I9" s="10"/>
    </row>
    <row r="10" customFormat="false" ht="23.25" hidden="false" customHeight="true" outlineLevel="0" collapsed="false">
      <c r="A10" s="3" t="s">
        <v>104</v>
      </c>
      <c r="B10" s="3" t="s">
        <v>105</v>
      </c>
      <c r="C10" s="3" t="s">
        <v>106</v>
      </c>
      <c r="D10" s="3" t="s">
        <v>107</v>
      </c>
      <c r="E10" s="3" t="s">
        <v>108</v>
      </c>
      <c r="F10" s="3" t="s">
        <v>109</v>
      </c>
      <c r="G10" s="3" t="s">
        <v>110</v>
      </c>
      <c r="H10" s="10"/>
      <c r="I10" s="10"/>
    </row>
    <row r="11" customFormat="false" ht="23.25" hidden="false" customHeight="true" outlineLevel="0" collapsed="false">
      <c r="A11" s="3" t="s">
        <v>111</v>
      </c>
      <c r="B11" s="3" t="s">
        <v>112</v>
      </c>
      <c r="C11" s="3" t="s">
        <v>113</v>
      </c>
      <c r="D11" s="3" t="s">
        <v>114</v>
      </c>
      <c r="E11" s="3" t="s">
        <v>115</v>
      </c>
      <c r="F11" s="3" t="s">
        <v>116</v>
      </c>
      <c r="G11" s="3" t="s">
        <v>117</v>
      </c>
      <c r="H11" s="10"/>
      <c r="I11" s="10"/>
    </row>
    <row r="12" customFormat="false" ht="23.25" hidden="false" customHeight="true" outlineLevel="0" collapsed="false">
      <c r="A12" s="3" t="s">
        <v>118</v>
      </c>
      <c r="B12" s="3" t="s">
        <v>119</v>
      </c>
      <c r="C12" s="3" t="s">
        <v>120</v>
      </c>
      <c r="D12" s="3" t="s">
        <v>121</v>
      </c>
      <c r="E12" s="3" t="s">
        <v>122</v>
      </c>
      <c r="F12" s="3" t="s">
        <v>123</v>
      </c>
      <c r="G12" s="3" t="s">
        <v>124</v>
      </c>
      <c r="H12" s="10"/>
      <c r="I12" s="10"/>
    </row>
    <row r="13" customFormat="false" ht="23.25" hidden="false" customHeight="true" outlineLevel="0" collapsed="false">
      <c r="A13" s="3" t="s">
        <v>125</v>
      </c>
      <c r="B13" s="3" t="s">
        <v>126</v>
      </c>
      <c r="C13" s="3" t="s">
        <v>127</v>
      </c>
      <c r="D13" s="3" t="s">
        <v>128</v>
      </c>
      <c r="E13" s="3" t="s">
        <v>129</v>
      </c>
      <c r="F13" s="3" t="s">
        <v>130</v>
      </c>
      <c r="G13" s="3" t="s">
        <v>131</v>
      </c>
      <c r="H13" s="10"/>
      <c r="I13" s="10"/>
    </row>
  </sheetData>
  <dataValidations count="1">
    <dataValidation allowBlank="true" errorStyle="stop" operator="between" showDropDown="false" showErrorMessage="false" showInputMessage="false" sqref="I2:I13" type="list">
      <formula1>"Not started,In progress,Signed off"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3" min="2" style="1" width="5"/>
    <col collapsed="false" customWidth="true" hidden="false" outlineLevel="0" max="14" min="14" style="1" width="10"/>
    <col collapsed="false" customWidth="true" hidden="false" outlineLevel="0" max="15" min="15" style="1" width="7"/>
  </cols>
  <sheetData>
    <row r="1" customFormat="false" ht="26.25" hidden="false" customHeight="true" outlineLevel="0" collapsed="false">
      <c r="A1" s="9" t="s">
        <v>132</v>
      </c>
      <c r="B1" s="9" t="s">
        <v>49</v>
      </c>
      <c r="C1" s="9" t="s">
        <v>56</v>
      </c>
      <c r="D1" s="9" t="s">
        <v>63</v>
      </c>
      <c r="E1" s="9" t="s">
        <v>70</v>
      </c>
      <c r="F1" s="9" t="s">
        <v>77</v>
      </c>
      <c r="G1" s="9" t="s">
        <v>83</v>
      </c>
      <c r="H1" s="9" t="s">
        <v>90</v>
      </c>
      <c r="I1" s="9" t="s">
        <v>97</v>
      </c>
      <c r="J1" s="9" t="s">
        <v>104</v>
      </c>
      <c r="K1" s="9" t="s">
        <v>111</v>
      </c>
      <c r="L1" s="9" t="s">
        <v>118</v>
      </c>
      <c r="M1" s="9" t="s">
        <v>125</v>
      </c>
      <c r="N1" s="9" t="s">
        <v>133</v>
      </c>
      <c r="O1" s="9" t="s">
        <v>134</v>
      </c>
    </row>
    <row r="2" customFormat="false" ht="15" hidden="false" customHeight="true" outlineLevel="0" collapsed="false">
      <c r="A2" s="3" t="s">
        <v>135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8" t="n">
        <f aca="false">COUNTIF(B2:M2,"x")</f>
        <v>0</v>
      </c>
      <c r="O2" s="11" t="str">
        <f aca="false">IF(N2&gt;=3,"OK","under")</f>
        <v>under</v>
      </c>
    </row>
    <row r="3" customFormat="false" ht="15" hidden="false" customHeight="true" outlineLevel="0" collapsed="false">
      <c r="A3" s="3" t="s">
        <v>136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8" t="n">
        <f aca="false">COUNTIF(B3:M3,"x")</f>
        <v>0</v>
      </c>
      <c r="O3" s="11" t="str">
        <f aca="false">IF(N3&gt;=3,"OK","under")</f>
        <v>under</v>
      </c>
    </row>
    <row r="4" customFormat="false" ht="15" hidden="false" customHeight="true" outlineLevel="0" collapsed="false">
      <c r="A4" s="3" t="s">
        <v>137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8" t="n">
        <f aca="false">COUNTIF(B4:M4,"x")</f>
        <v>0</v>
      </c>
      <c r="O4" s="11" t="str">
        <f aca="false">IF(N4&gt;=3,"OK","under")</f>
        <v>under</v>
      </c>
    </row>
    <row r="5" customFormat="false" ht="15" hidden="false" customHeight="true" outlineLevel="0" collapsed="false">
      <c r="A5" s="3" t="s">
        <v>138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8" t="n">
        <f aca="false">COUNTIF(B5:M5,"x")</f>
        <v>0</v>
      </c>
      <c r="O5" s="11" t="str">
        <f aca="false">IF(N5&gt;=3,"OK","under")</f>
        <v>under</v>
      </c>
    </row>
    <row r="6" customFormat="false" ht="15" hidden="false" customHeight="true" outlineLevel="0" collapsed="false">
      <c r="A6" s="3" t="s">
        <v>139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8" t="n">
        <f aca="false">COUNTIF(B6:M6,"x")</f>
        <v>0</v>
      </c>
      <c r="O6" s="11" t="str">
        <f aca="false">IF(N6&gt;=3,"OK","under")</f>
        <v>under</v>
      </c>
    </row>
    <row r="7" customFormat="false" ht="15" hidden="false" customHeight="true" outlineLevel="0" collapsed="false">
      <c r="A7" s="3" t="s">
        <v>140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8" t="n">
        <f aca="false">COUNTIF(B7:M7,"x")</f>
        <v>0</v>
      </c>
      <c r="O7" s="11" t="str">
        <f aca="false">IF(N7&gt;=3,"OK","under")</f>
        <v>under</v>
      </c>
    </row>
    <row r="8" customFormat="false" ht="15" hidden="false" customHeight="true" outlineLevel="0" collapsed="false">
      <c r="A8" s="3" t="s">
        <v>141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8" t="n">
        <f aca="false">COUNTIF(B8:M8,"x")</f>
        <v>0</v>
      </c>
      <c r="O8" s="11" t="str">
        <f aca="false">IF(N8&gt;=3,"OK","under")</f>
        <v>under</v>
      </c>
    </row>
    <row r="9" customFormat="false" ht="15" hidden="false" customHeight="true" outlineLevel="0" collapsed="false">
      <c r="A9" s="3" t="s">
        <v>142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8" t="n">
        <f aca="false">COUNTIF(B9:M9,"x")</f>
        <v>0</v>
      </c>
      <c r="O9" s="11" t="str">
        <f aca="false">IF(N9&gt;=3,"OK","under")</f>
        <v>under</v>
      </c>
    </row>
    <row r="10" customFormat="false" ht="15" hidden="false" customHeight="true" outlineLevel="0" collapsed="false">
      <c r="A10" s="3" t="s">
        <v>143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8" t="n">
        <f aca="false">COUNTIF(B10:M10,"x")</f>
        <v>0</v>
      </c>
      <c r="O10" s="11" t="str">
        <f aca="false">IF(N10&gt;=3,"OK","under")</f>
        <v>under</v>
      </c>
    </row>
    <row r="11" customFormat="false" ht="15" hidden="false" customHeight="true" outlineLevel="0" collapsed="false">
      <c r="A11" s="3" t="s">
        <v>144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8" t="n">
        <f aca="false">COUNTIF(B11:M11,"x")</f>
        <v>0</v>
      </c>
      <c r="O11" s="11" t="str">
        <f aca="false">IF(N11&gt;=3,"OK","under")</f>
        <v>under</v>
      </c>
    </row>
    <row r="12" customFormat="false" ht="15" hidden="false" customHeight="true" outlineLevel="0" collapsed="false">
      <c r="A12" s="3" t="s">
        <v>145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8" t="n">
        <f aca="false">COUNTIF(B12:M12,"x")</f>
        <v>0</v>
      </c>
      <c r="O12" s="11" t="str">
        <f aca="false">IF(N12&gt;=3,"OK","under")</f>
        <v>under</v>
      </c>
    </row>
    <row r="13" customFormat="false" ht="15" hidden="false" customHeight="true" outlineLevel="0" collapsed="false">
      <c r="A13" s="3" t="s">
        <v>146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8" t="n">
        <f aca="false">COUNTIF(B13:M13,"x")</f>
        <v>0</v>
      </c>
      <c r="O13" s="11" t="str">
        <f aca="false">IF(N13&gt;=3,"OK","under")</f>
        <v>under</v>
      </c>
    </row>
    <row r="14" customFormat="false" ht="15" hidden="false" customHeight="true" outlineLevel="0" collapsed="false">
      <c r="A14" s="3" t="s">
        <v>147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8" t="n">
        <f aca="false">COUNTIF(B14:M14,"x")</f>
        <v>0</v>
      </c>
      <c r="O14" s="11" t="str">
        <f aca="false">IF(N14&gt;=3,"OK","under")</f>
        <v>under</v>
      </c>
    </row>
    <row r="15" customFormat="false" ht="15" hidden="false" customHeight="true" outlineLevel="0" collapsed="false">
      <c r="A15" s="3" t="s">
        <v>148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8" t="n">
        <f aca="false">COUNTIF(B15:M15,"x")</f>
        <v>0</v>
      </c>
      <c r="O15" s="11" t="str">
        <f aca="false">IF(N15&gt;=3,"OK","under")</f>
        <v>under</v>
      </c>
    </row>
    <row r="16" customFormat="false" ht="15" hidden="false" customHeight="true" outlineLevel="0" collapsed="false">
      <c r="A16" s="3" t="s">
        <v>149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8" t="n">
        <f aca="false">COUNTIF(B16:M16,"x")</f>
        <v>0</v>
      </c>
      <c r="O16" s="11" t="str">
        <f aca="false">IF(N16&gt;=3,"OK","under")</f>
        <v>under</v>
      </c>
    </row>
    <row r="17" customFormat="false" ht="15" hidden="false" customHeight="true" outlineLevel="0" collapsed="false">
      <c r="A17" s="3" t="s">
        <v>150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8" t="n">
        <f aca="false">COUNTIF(B17:M17,"x")</f>
        <v>0</v>
      </c>
      <c r="O17" s="11" t="str">
        <f aca="false">IF(N17&gt;=3,"OK","under")</f>
        <v>under</v>
      </c>
    </row>
    <row r="18" customFormat="false" ht="15" hidden="false" customHeight="true" outlineLevel="0" collapsed="false">
      <c r="A18" s="3" t="s">
        <v>151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8" t="n">
        <f aca="false">COUNTIF(B18:M18,"x")</f>
        <v>0</v>
      </c>
      <c r="O18" s="11" t="str">
        <f aca="false">IF(N18&gt;=3,"OK","under")</f>
        <v>under</v>
      </c>
    </row>
    <row r="19" customFormat="false" ht="15" hidden="false" customHeight="true" outlineLevel="0" collapsed="false">
      <c r="A19" s="3" t="s">
        <v>152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8" t="n">
        <f aca="false">COUNTIF(B19:M19,"x")</f>
        <v>0</v>
      </c>
      <c r="O19" s="11" t="str">
        <f aca="false">IF(N19&gt;=3,"OK","under")</f>
        <v>under</v>
      </c>
    </row>
    <row r="20" customFormat="false" ht="15" hidden="false" customHeight="true" outlineLevel="0" collapsed="false">
      <c r="A20" s="3" t="s">
        <v>153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8" t="n">
        <f aca="false">COUNTIF(B20:M20,"x")</f>
        <v>0</v>
      </c>
      <c r="O20" s="11" t="str">
        <f aca="false">IF(N20&gt;=3,"OK","under")</f>
        <v>under</v>
      </c>
    </row>
    <row r="21" customFormat="false" ht="15" hidden="false" customHeight="true" outlineLevel="0" collapsed="false">
      <c r="A21" s="3" t="s">
        <v>154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8" t="n">
        <f aca="false">COUNTIF(B21:M21,"x")</f>
        <v>0</v>
      </c>
      <c r="O21" s="11" t="str">
        <f aca="false">IF(N21&gt;=3,"OK","under")</f>
        <v>under</v>
      </c>
    </row>
    <row r="22" customFormat="false" ht="15" hidden="false" customHeight="true" outlineLevel="0" collapsed="false">
      <c r="A22" s="3" t="s">
        <v>155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8" t="n">
        <f aca="false">COUNTIF(B22:M22,"x")</f>
        <v>0</v>
      </c>
      <c r="O22" s="11" t="str">
        <f aca="false">IF(N22&gt;=3,"OK","under")</f>
        <v>under</v>
      </c>
    </row>
    <row r="23" customFormat="false" ht="15" hidden="false" customHeight="true" outlineLevel="0" collapsed="false">
      <c r="A23" s="3" t="s">
        <v>156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8" t="n">
        <f aca="false">COUNTIF(B23:M23,"x")</f>
        <v>0</v>
      </c>
      <c r="O23" s="11" t="str">
        <f aca="false">IF(N23&gt;=3,"OK","under")</f>
        <v>under</v>
      </c>
    </row>
    <row r="24" customFormat="false" ht="15" hidden="false" customHeight="true" outlineLevel="0" collapsed="false">
      <c r="A24" s="3" t="s">
        <v>157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8" t="n">
        <f aca="false">COUNTIF(B24:M24,"x")</f>
        <v>0</v>
      </c>
      <c r="O24" s="11" t="str">
        <f aca="false">IF(N24&gt;=3,"OK","under")</f>
        <v>under</v>
      </c>
    </row>
    <row r="25" customFormat="false" ht="15" hidden="false" customHeight="true" outlineLevel="0" collapsed="false">
      <c r="A25" s="3" t="s">
        <v>158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8" t="n">
        <f aca="false">COUNTIF(B25:M25,"x")</f>
        <v>0</v>
      </c>
      <c r="O25" s="11" t="str">
        <f aca="false">IF(N25&gt;=3,"OK","under")</f>
        <v>under</v>
      </c>
    </row>
    <row r="26" customFormat="false" ht="15" hidden="false" customHeight="true" outlineLevel="0" collapsed="false">
      <c r="A26" s="3" t="s">
        <v>159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8" t="n">
        <f aca="false">COUNTIF(B26:M26,"x")</f>
        <v>0</v>
      </c>
      <c r="O26" s="11" t="str">
        <f aca="false">IF(N26&gt;=3,"OK","under")</f>
        <v>under</v>
      </c>
    </row>
    <row r="27" customFormat="false" ht="15" hidden="false" customHeight="true" outlineLevel="0" collapsed="false">
      <c r="A27" s="3" t="s">
        <v>160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8" t="n">
        <f aca="false">COUNTIF(B27:M27,"x")</f>
        <v>0</v>
      </c>
      <c r="O27" s="11" t="str">
        <f aca="false">IF(N27&gt;=3,"OK","under")</f>
        <v>under</v>
      </c>
    </row>
    <row r="29" customFormat="false" ht="15" hidden="false" customHeight="true" outlineLevel="0" collapsed="false">
      <c r="A29" s="6" t="s">
        <v>161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</sheetData>
  <mergeCells count="1">
    <mergeCell ref="A29:O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4" min="3" style="1" width="9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5"/>
    <col collapsed="false" customWidth="true" hidden="false" outlineLevel="0" max="8" min="8" style="1" width="24"/>
    <col collapsed="false" customWidth="true" hidden="false" outlineLevel="0" max="9" min="9" style="1" width="30"/>
    <col collapsed="false" customWidth="true" hidden="false" outlineLevel="0" max="11" min="10" style="1" width="24"/>
    <col collapsed="false" customWidth="true" hidden="false" outlineLevel="0" max="12" min="12" style="1" width="12"/>
    <col collapsed="false" customWidth="true" hidden="false" outlineLevel="0" max="13" min="13" style="1" width="10"/>
    <col collapsed="false" customWidth="true" hidden="false" outlineLevel="0" max="14" min="14" style="1" width="16"/>
    <col collapsed="false" customWidth="true" hidden="false" outlineLevel="0" max="15" min="15" style="1" width="18"/>
    <col collapsed="false" customWidth="true" hidden="false" outlineLevel="0" max="16" min="16" style="1" width="22"/>
  </cols>
  <sheetData>
    <row r="1" customFormat="false" ht="26.25" hidden="false" customHeight="true" outlineLevel="0" collapsed="false">
      <c r="A1" s="9" t="s">
        <v>40</v>
      </c>
      <c r="B1" s="9" t="s">
        <v>162</v>
      </c>
      <c r="C1" s="9" t="s">
        <v>41</v>
      </c>
      <c r="D1" s="9" t="s">
        <v>163</v>
      </c>
      <c r="E1" s="9" t="s">
        <v>164</v>
      </c>
      <c r="F1" s="9" t="s">
        <v>165</v>
      </c>
      <c r="G1" s="9" t="s">
        <v>7</v>
      </c>
      <c r="H1" s="9" t="s">
        <v>166</v>
      </c>
      <c r="I1" s="9" t="s">
        <v>167</v>
      </c>
      <c r="J1" s="9" t="s">
        <v>168</v>
      </c>
      <c r="K1" s="9" t="s">
        <v>169</v>
      </c>
      <c r="L1" s="9" t="s">
        <v>170</v>
      </c>
      <c r="M1" s="9" t="s">
        <v>171</v>
      </c>
      <c r="N1" s="9" t="s">
        <v>172</v>
      </c>
      <c r="O1" s="9" t="s">
        <v>173</v>
      </c>
      <c r="P1" s="9" t="s">
        <v>174</v>
      </c>
    </row>
    <row r="2" customFormat="false" ht="23.25" hidden="false" customHeight="true" outlineLevel="0" collapsed="false">
      <c r="A2" s="6" t="s">
        <v>175</v>
      </c>
      <c r="B2" s="6" t="s">
        <v>176</v>
      </c>
      <c r="C2" s="6" t="s">
        <v>83</v>
      </c>
      <c r="D2" s="6" t="s">
        <v>177</v>
      </c>
      <c r="E2" s="6" t="s">
        <v>135</v>
      </c>
      <c r="F2" s="6" t="s">
        <v>178</v>
      </c>
      <c r="G2" s="6" t="s">
        <v>35</v>
      </c>
      <c r="H2" s="6" t="s">
        <v>179</v>
      </c>
      <c r="I2" s="6" t="s">
        <v>180</v>
      </c>
      <c r="J2" s="6" t="s">
        <v>181</v>
      </c>
      <c r="K2" s="6" t="s">
        <v>182</v>
      </c>
      <c r="L2" s="6" t="s">
        <v>183</v>
      </c>
      <c r="M2" s="6"/>
      <c r="N2" s="6"/>
      <c r="O2" s="6" t="s">
        <v>184</v>
      </c>
      <c r="P2" s="6" t="s">
        <v>185</v>
      </c>
    </row>
    <row r="3" customFormat="false" ht="15" hidden="false" customHeight="true" outlineLevel="0" collapsed="false">
      <c r="A3" s="10" t="s">
        <v>175</v>
      </c>
      <c r="B3" s="10" t="s">
        <v>186</v>
      </c>
      <c r="C3" s="10" t="s">
        <v>187</v>
      </c>
      <c r="D3" s="10" t="s">
        <v>188</v>
      </c>
      <c r="E3" s="10" t="s">
        <v>152</v>
      </c>
      <c r="F3" s="10" t="s">
        <v>178</v>
      </c>
      <c r="G3" s="10" t="s">
        <v>35</v>
      </c>
      <c r="H3" s="10" t="s">
        <v>189</v>
      </c>
      <c r="I3" s="10" t="s">
        <v>190</v>
      </c>
      <c r="J3" s="10" t="s">
        <v>191</v>
      </c>
      <c r="K3" s="10" t="s">
        <v>192</v>
      </c>
      <c r="L3" s="10" t="s">
        <v>193</v>
      </c>
      <c r="M3" s="10" t="s">
        <v>194</v>
      </c>
      <c r="N3" s="10" t="s">
        <v>195</v>
      </c>
      <c r="O3" s="10" t="s">
        <v>196</v>
      </c>
      <c r="P3" s="10" t="s">
        <v>197</v>
      </c>
    </row>
    <row r="4" customFormat="false" ht="15" hidden="false" customHeight="true" outlineLevel="0" collapsed="false">
      <c r="A4" s="10" t="s">
        <v>198</v>
      </c>
      <c r="B4" s="10" t="s">
        <v>186</v>
      </c>
      <c r="C4" s="10" t="s">
        <v>104</v>
      </c>
      <c r="D4" s="10" t="s">
        <v>188</v>
      </c>
      <c r="E4" s="10" t="s">
        <v>135</v>
      </c>
      <c r="F4" s="10" t="s">
        <v>178</v>
      </c>
      <c r="G4" s="10" t="s">
        <v>35</v>
      </c>
      <c r="H4" s="10" t="s">
        <v>199</v>
      </c>
      <c r="I4" s="10" t="s">
        <v>200</v>
      </c>
      <c r="J4" s="10" t="s">
        <v>201</v>
      </c>
      <c r="K4" s="10" t="s">
        <v>202</v>
      </c>
      <c r="L4" s="10" t="s">
        <v>193</v>
      </c>
      <c r="M4" s="10" t="s">
        <v>194</v>
      </c>
      <c r="N4" s="10" t="s">
        <v>195</v>
      </c>
      <c r="O4" s="10" t="s">
        <v>203</v>
      </c>
      <c r="P4" s="10" t="s">
        <v>204</v>
      </c>
    </row>
    <row r="5" customFormat="false" ht="15" hidden="false" customHeight="true" outlineLevel="0" collapsed="false">
      <c r="A5" s="10" t="s">
        <v>205</v>
      </c>
      <c r="B5" s="10" t="s">
        <v>186</v>
      </c>
      <c r="C5" s="10" t="s">
        <v>70</v>
      </c>
      <c r="D5" s="10" t="s">
        <v>188</v>
      </c>
      <c r="E5" s="10" t="s">
        <v>141</v>
      </c>
      <c r="F5" s="10" t="s">
        <v>178</v>
      </c>
      <c r="G5" s="10" t="s">
        <v>35</v>
      </c>
      <c r="H5" s="10" t="s">
        <v>206</v>
      </c>
      <c r="I5" s="10" t="s">
        <v>207</v>
      </c>
      <c r="J5" s="10" t="s">
        <v>208</v>
      </c>
      <c r="K5" s="10" t="s">
        <v>209</v>
      </c>
      <c r="L5" s="10" t="s">
        <v>193</v>
      </c>
      <c r="M5" s="10" t="s">
        <v>194</v>
      </c>
      <c r="N5" s="10" t="s">
        <v>195</v>
      </c>
      <c r="O5" s="10"/>
      <c r="P5" s="10" t="s">
        <v>210</v>
      </c>
    </row>
    <row r="6" customFormat="false" ht="15" hidden="false" customHeight="true" outlineLevel="0" collapsed="false">
      <c r="A6" s="10" t="s">
        <v>211</v>
      </c>
      <c r="B6" s="10" t="s">
        <v>186</v>
      </c>
      <c r="C6" s="10" t="s">
        <v>56</v>
      </c>
      <c r="D6" s="10" t="s">
        <v>212</v>
      </c>
      <c r="E6" s="10" t="s">
        <v>135</v>
      </c>
      <c r="F6" s="10" t="s">
        <v>178</v>
      </c>
      <c r="G6" s="10" t="s">
        <v>36</v>
      </c>
      <c r="H6" s="10" t="s">
        <v>213</v>
      </c>
      <c r="I6" s="10" t="s">
        <v>214</v>
      </c>
      <c r="J6" s="10" t="s">
        <v>215</v>
      </c>
      <c r="K6" s="10" t="s">
        <v>216</v>
      </c>
      <c r="L6" s="10" t="s">
        <v>193</v>
      </c>
      <c r="M6" s="10" t="s">
        <v>194</v>
      </c>
      <c r="N6" s="10" t="s">
        <v>217</v>
      </c>
      <c r="O6" s="10"/>
      <c r="P6" s="10" t="s">
        <v>218</v>
      </c>
    </row>
    <row r="7" customFormat="false" ht="15" hidden="false" customHeight="true" outlineLevel="0" collapsed="false">
      <c r="A7" s="10" t="s">
        <v>219</v>
      </c>
      <c r="B7" s="10" t="s">
        <v>186</v>
      </c>
      <c r="C7" s="10" t="s">
        <v>187</v>
      </c>
      <c r="D7" s="10" t="s">
        <v>212</v>
      </c>
      <c r="E7" s="10" t="s">
        <v>141</v>
      </c>
      <c r="F7" s="10" t="s">
        <v>220</v>
      </c>
      <c r="G7" s="10" t="s">
        <v>36</v>
      </c>
      <c r="H7" s="10" t="s">
        <v>221</v>
      </c>
      <c r="I7" s="10" t="s">
        <v>222</v>
      </c>
      <c r="J7" s="10" t="s">
        <v>223</v>
      </c>
      <c r="K7" s="10" t="s">
        <v>224</v>
      </c>
      <c r="L7" s="10" t="s">
        <v>193</v>
      </c>
      <c r="M7" s="10" t="s">
        <v>194</v>
      </c>
      <c r="N7" s="10" t="s">
        <v>217</v>
      </c>
      <c r="O7" s="10"/>
      <c r="P7" s="10" t="s">
        <v>225</v>
      </c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customFormat="false" ht="1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customFormat="false" ht="1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customFormat="false" ht="1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customFormat="false" ht="1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customFormat="false" ht="1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customFormat="false" ht="1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customFormat="false" ht="1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customFormat="false" ht="1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customFormat="false" ht="1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customFormat="false" ht="1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customFormat="false" ht="1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customFormat="false" ht="1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customFormat="false" ht="1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customFormat="false" ht="1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customFormat="false" ht="1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customFormat="false" ht="1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customFormat="false" ht="1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customFormat="false" ht="1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customFormat="false" ht="1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customFormat="false" ht="1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</row>
    <row r="52" customFormat="false" ht="1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customFormat="false" ht="1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customFormat="false" ht="1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customFormat="false" ht="1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customFormat="false" ht="1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 customFormat="false" ht="1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customFormat="false" ht="1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customFormat="false" ht="1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 customFormat="false" ht="1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customFormat="false" ht="1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</row>
    <row r="62" customFormat="false" ht="1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customFormat="false" ht="1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 customFormat="false" ht="1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customFormat="false" ht="1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customFormat="false" ht="1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customFormat="false" ht="1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customFormat="false" ht="1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customFormat="false" ht="15" hidden="false" customHeight="tru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customFormat="false" ht="1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</row>
    <row r="71" customFormat="false" ht="15" hidden="false" customHeight="tru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 customFormat="false" ht="15" hidden="false" customHeight="tru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customFormat="false" ht="1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customFormat="false" ht="1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customFormat="false" ht="15" hidden="false" customHeight="tru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 customFormat="false" ht="15" hidden="false" customHeight="tru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customFormat="false" ht="15" hidden="false" customHeight="tru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customFormat="false" ht="1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</row>
    <row r="79" customFormat="false" ht="1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</row>
    <row r="80" customFormat="false" ht="1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</row>
    <row r="81" customFormat="false" ht="1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</row>
    <row r="82" customFormat="false" ht="1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customFormat="false" ht="1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customFormat="false" ht="1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customFormat="false" ht="1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customFormat="false" ht="1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 customFormat="false" ht="1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 customFormat="false" ht="1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customFormat="false" ht="1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</row>
    <row r="90" customFormat="false" ht="1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customFormat="false" ht="1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2" customFormat="false" ht="1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 customFormat="false" ht="1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  <row r="94" customFormat="false" ht="1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 customFormat="false" ht="1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customFormat="false" ht="1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customFormat="false" ht="1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 customFormat="false" ht="1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 customFormat="false" ht="1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 customFormat="false" ht="1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</row>
    <row r="101" customFormat="false" ht="1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 customFormat="false" ht="1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 customFormat="false" ht="1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customFormat="false" ht="1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customFormat="false" ht="1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customFormat="false" ht="1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customFormat="false" ht="1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customFormat="false" ht="1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customFormat="false" ht="1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customFormat="false" ht="1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customFormat="false" ht="1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customFormat="false" ht="1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customFormat="false" ht="1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customFormat="false" ht="1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customFormat="false" ht="1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customFormat="false" ht="1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customFormat="false" ht="1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customFormat="false" ht="1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customFormat="false" ht="1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customFormat="false" ht="1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customFormat="false" ht="1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customFormat="false" ht="1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customFormat="false" ht="1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customFormat="false" ht="1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customFormat="false" ht="1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customFormat="false" ht="1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customFormat="false" ht="1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 customFormat="false" ht="1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 customFormat="false" ht="1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 customFormat="false" ht="1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 customFormat="false" ht="1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customFormat="false" ht="1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customFormat="false" ht="1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customFormat="false" ht="1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customFormat="false" ht="1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 customFormat="false" ht="1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 customFormat="false" ht="1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 customFormat="false" ht="1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 customFormat="false" ht="1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 customFormat="false" ht="1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 customFormat="false" ht="1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customFormat="false" ht="1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customFormat="false" ht="1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customFormat="false" ht="1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customFormat="false" ht="1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customFormat="false" ht="1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customFormat="false" ht="1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customFormat="false" ht="1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 customFormat="false" ht="1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customFormat="false" ht="1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customFormat="false" ht="1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customFormat="false" ht="1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customFormat="false" ht="1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customFormat="false" ht="1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customFormat="false" ht="1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customFormat="false" ht="1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customFormat="false" ht="1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customFormat="false" ht="1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customFormat="false" ht="1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customFormat="false" ht="1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customFormat="false" ht="1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customFormat="false" ht="1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customFormat="false" ht="1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customFormat="false" ht="1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customFormat="false" ht="1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customFormat="false" ht="1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customFormat="false" ht="1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</row>
    <row r="168" customFormat="false" ht="1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customFormat="false" ht="1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customFormat="false" ht="1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customFormat="false" ht="1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customFormat="false" ht="1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customFormat="false" ht="1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customFormat="false" ht="1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customFormat="false" ht="1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customFormat="false" ht="1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customFormat="false" ht="1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customFormat="false" ht="1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customFormat="false" ht="1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customFormat="false" ht="1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customFormat="false" ht="1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customFormat="false" ht="1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customFormat="false" ht="1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</row>
    <row r="184" customFormat="false" ht="1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customFormat="false" ht="1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customFormat="false" ht="1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customFormat="false" ht="1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customFormat="false" ht="1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customFormat="false" ht="1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customFormat="false" ht="1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customFormat="false" ht="1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customFormat="false" ht="1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</row>
    <row r="193" customFormat="false" ht="1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</row>
    <row r="194" customFormat="false" ht="1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</row>
    <row r="195" customFormat="false" ht="1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customFormat="false" ht="1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customFormat="false" ht="1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customFormat="false" ht="1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customFormat="false" ht="1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customFormat="false" ht="1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</sheetData>
  <dataValidations count="4">
    <dataValidation allowBlank="true" errorStyle="stop" operator="between" showDropDown="false" showErrorMessage="false" showInputMessage="false" sqref="D3:D200" type="list">
      <formula1>"web,iOS,Android,mobile-web"</formula1>
      <formula2>0</formula2>
    </dataValidation>
    <dataValidation allowBlank="true" errorStyle="stop" operator="between" showDropDown="false" showErrorMessage="false" showInputMessage="false" sqref="F3:F200" type="list">
      <formula1>"Bug,Calc/Data error,Content accuracy,UX/Confusion,Copy,Performance,Visual/Layout,Accessibility,Cost/Credits,Privacy/Security,Safety/Content-policy"</formula1>
      <formula2>0</formula2>
    </dataValidation>
    <dataValidation allowBlank="true" errorStyle="stop" operator="between" showDropDown="false" showErrorMessage="false" showInputMessage="false" sqref="G3:G200" type="list">
      <formula1>"S1 — Critical,S2 — Major,S3 — Minor,S4 — Trivial"</formula1>
      <formula2>0</formula2>
    </dataValidation>
    <dataValidation allowBlank="true" errorStyle="stop" operator="between" showDropDown="false" showErrorMessage="false" showInputMessage="false" sqref="L3:L200" type="list">
      <formula1>"Open,In progress,Fixed,Verified,Closed,Won't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4" min="3" style="1" width="18"/>
    <col collapsed="false" customWidth="true" hidden="false" outlineLevel="0" max="5" min="5" style="1" width="26"/>
    <col collapsed="false" customWidth="true" hidden="false" outlineLevel="0" max="6" min="6" style="1" width="13"/>
    <col collapsed="false" customWidth="true" hidden="false" outlineLevel="0" max="7" min="7" style="1" width="15"/>
    <col collapsed="false" customWidth="true" hidden="false" outlineLevel="0" max="8" min="8" style="1" width="9"/>
    <col collapsed="false" customWidth="true" hidden="false" outlineLevel="0" max="9" min="9" style="1" width="30"/>
  </cols>
  <sheetData>
    <row r="1" customFormat="false" ht="26.25" hidden="false" customHeight="true" outlineLevel="0" collapsed="false">
      <c r="A1" s="9" t="s">
        <v>41</v>
      </c>
      <c r="B1" s="9" t="s">
        <v>226</v>
      </c>
      <c r="C1" s="9" t="s">
        <v>227</v>
      </c>
      <c r="D1" s="9" t="s">
        <v>228</v>
      </c>
      <c r="E1" s="9" t="s">
        <v>229</v>
      </c>
      <c r="F1" s="9" t="s">
        <v>230</v>
      </c>
      <c r="G1" s="9" t="s">
        <v>231</v>
      </c>
      <c r="H1" s="9" t="s">
        <v>232</v>
      </c>
      <c r="I1" s="9" t="s">
        <v>174</v>
      </c>
    </row>
    <row r="2" customFormat="false" ht="15" hidden="false" customHeight="true" outlineLevel="0" collapsed="false">
      <c r="A2" s="6" t="s">
        <v>233</v>
      </c>
      <c r="B2" s="6" t="s">
        <v>234</v>
      </c>
      <c r="C2" s="6" t="s">
        <v>235</v>
      </c>
      <c r="D2" s="6" t="s">
        <v>235</v>
      </c>
      <c r="E2" s="6" t="s">
        <v>236</v>
      </c>
      <c r="F2" s="6" t="s">
        <v>237</v>
      </c>
      <c r="G2" s="6"/>
      <c r="H2" s="6"/>
      <c r="I2" s="6" t="s">
        <v>238</v>
      </c>
    </row>
    <row r="3" customFormat="false" ht="15" hidden="false" customHeight="true" outlineLevel="0" collapsed="false">
      <c r="A3" s="4" t="s">
        <v>239</v>
      </c>
      <c r="B3" s="12"/>
      <c r="C3" s="12"/>
      <c r="D3" s="12"/>
      <c r="E3" s="12"/>
      <c r="F3" s="12"/>
      <c r="G3" s="12"/>
      <c r="H3" s="12"/>
      <c r="I3" s="12"/>
    </row>
    <row r="4" customFormat="false" ht="15" hidden="false" customHeight="true" outlineLevel="0" collapsed="false">
      <c r="A4" s="3"/>
      <c r="B4" s="3" t="s">
        <v>234</v>
      </c>
      <c r="C4" s="10" t="s">
        <v>240</v>
      </c>
      <c r="D4" s="10"/>
      <c r="E4" s="10"/>
      <c r="F4" s="10" t="s">
        <v>237</v>
      </c>
      <c r="G4" s="10"/>
      <c r="H4" s="10"/>
      <c r="I4" s="10" t="s">
        <v>241</v>
      </c>
    </row>
    <row r="5" customFormat="false" ht="15" hidden="false" customHeight="true" outlineLevel="0" collapsed="false">
      <c r="A5" s="3"/>
      <c r="B5" s="3" t="s">
        <v>242</v>
      </c>
      <c r="C5" s="10" t="s">
        <v>243</v>
      </c>
      <c r="D5" s="10"/>
      <c r="E5" s="10"/>
      <c r="F5" s="10"/>
      <c r="G5" s="10"/>
      <c r="H5" s="10"/>
      <c r="I5" s="10"/>
    </row>
    <row r="6" customFormat="false" ht="15" hidden="false" customHeight="true" outlineLevel="0" collapsed="false">
      <c r="A6" s="3"/>
      <c r="B6" s="3" t="s">
        <v>244</v>
      </c>
      <c r="C6" s="10" t="s">
        <v>245</v>
      </c>
      <c r="D6" s="10"/>
      <c r="E6" s="10"/>
      <c r="F6" s="10"/>
      <c r="G6" s="10"/>
      <c r="H6" s="10"/>
      <c r="I6" s="10"/>
    </row>
    <row r="7" customFormat="false" ht="15" hidden="false" customHeight="true" outlineLevel="0" collapsed="false">
      <c r="A7" s="3"/>
      <c r="B7" s="3" t="s">
        <v>246</v>
      </c>
      <c r="C7" s="10" t="s">
        <v>247</v>
      </c>
      <c r="D7" s="10"/>
      <c r="E7" s="10"/>
      <c r="F7" s="10"/>
      <c r="G7" s="10"/>
      <c r="H7" s="10"/>
      <c r="I7" s="10"/>
    </row>
    <row r="8" customFormat="false" ht="15" hidden="false" customHeight="true" outlineLevel="0" collapsed="false">
      <c r="A8" s="3"/>
      <c r="B8" s="3" t="s">
        <v>248</v>
      </c>
      <c r="C8" s="10" t="s">
        <v>249</v>
      </c>
      <c r="D8" s="10"/>
      <c r="E8" s="10"/>
      <c r="F8" s="10"/>
      <c r="G8" s="10"/>
      <c r="H8" s="10"/>
      <c r="I8" s="10"/>
    </row>
    <row r="9" customFormat="false" ht="15" hidden="false" customHeight="true" outlineLevel="0" collapsed="false">
      <c r="A9" s="3"/>
      <c r="B9" s="3" t="s">
        <v>250</v>
      </c>
      <c r="C9" s="10" t="s">
        <v>251</v>
      </c>
      <c r="D9" s="10"/>
      <c r="E9" s="10"/>
      <c r="F9" s="10"/>
      <c r="G9" s="10"/>
      <c r="H9" s="10"/>
      <c r="I9" s="10"/>
    </row>
    <row r="10" customFormat="false" ht="15" hidden="false" customHeight="true" outlineLevel="0" collapsed="false">
      <c r="A10" s="3"/>
      <c r="B10" s="3" t="s">
        <v>252</v>
      </c>
      <c r="C10" s="10" t="s">
        <v>253</v>
      </c>
      <c r="D10" s="10"/>
      <c r="E10" s="10"/>
      <c r="F10" s="10"/>
      <c r="G10" s="10"/>
      <c r="H10" s="10"/>
      <c r="I10" s="10"/>
    </row>
    <row r="11" customFormat="false" ht="15" hidden="false" customHeight="true" outlineLevel="0" collapsed="false">
      <c r="A11" s="3"/>
      <c r="B11" s="3" t="s">
        <v>254</v>
      </c>
      <c r="C11" s="10" t="s">
        <v>255</v>
      </c>
      <c r="D11" s="10"/>
      <c r="E11" s="10"/>
      <c r="F11" s="10"/>
      <c r="G11" s="10"/>
      <c r="H11" s="10"/>
      <c r="I11" s="10"/>
    </row>
    <row r="12" customFormat="false" ht="15" hidden="false" customHeight="true" outlineLevel="0" collapsed="false">
      <c r="A12" s="3"/>
      <c r="B12" s="3" t="s">
        <v>256</v>
      </c>
      <c r="C12" s="10" t="s">
        <v>257</v>
      </c>
      <c r="D12" s="10"/>
      <c r="E12" s="10"/>
      <c r="F12" s="10"/>
      <c r="G12" s="10"/>
      <c r="H12" s="10"/>
      <c r="I12" s="10"/>
    </row>
    <row r="13" customFormat="false" ht="15" hidden="false" customHeight="true" outlineLevel="0" collapsed="false">
      <c r="A13" s="3"/>
      <c r="B13" s="3" t="s">
        <v>258</v>
      </c>
      <c r="C13" s="10" t="s">
        <v>259</v>
      </c>
      <c r="D13" s="10"/>
      <c r="E13" s="10"/>
      <c r="F13" s="10"/>
      <c r="G13" s="10"/>
      <c r="H13" s="10"/>
      <c r="I13" s="10"/>
    </row>
    <row r="14" customFormat="false" ht="15" hidden="false" customHeight="true" outlineLevel="0" collapsed="false">
      <c r="A14" s="3"/>
      <c r="B14" s="3" t="s">
        <v>260</v>
      </c>
      <c r="C14" s="10" t="s">
        <v>261</v>
      </c>
      <c r="D14" s="10"/>
      <c r="E14" s="10"/>
      <c r="F14" s="10"/>
      <c r="G14" s="10"/>
      <c r="H14" s="10"/>
      <c r="I14" s="10"/>
    </row>
    <row r="15" customFormat="false" ht="15" hidden="false" customHeight="true" outlineLevel="0" collapsed="false">
      <c r="A15" s="3"/>
      <c r="B15" s="3" t="s">
        <v>262</v>
      </c>
      <c r="C15" s="10" t="s">
        <v>263</v>
      </c>
      <c r="D15" s="10"/>
      <c r="E15" s="10"/>
      <c r="F15" s="10"/>
      <c r="G15" s="10"/>
      <c r="H15" s="10"/>
      <c r="I15" s="10"/>
    </row>
    <row r="16" customFormat="false" ht="15" hidden="false" customHeight="true" outlineLevel="0" collapsed="false">
      <c r="A16" s="3"/>
      <c r="B16" s="3" t="s">
        <v>264</v>
      </c>
      <c r="C16" s="10" t="s">
        <v>265</v>
      </c>
      <c r="D16" s="10"/>
      <c r="E16" s="10"/>
      <c r="F16" s="10"/>
      <c r="G16" s="10"/>
      <c r="H16" s="10"/>
      <c r="I16" s="10"/>
    </row>
    <row r="17" customFormat="false" ht="15" hidden="false" customHeight="true" outlineLevel="0" collapsed="false">
      <c r="A17" s="3"/>
      <c r="B17" s="3" t="s">
        <v>266</v>
      </c>
      <c r="C17" s="10" t="s">
        <v>267</v>
      </c>
      <c r="D17" s="10"/>
      <c r="E17" s="10"/>
      <c r="F17" s="10"/>
      <c r="G17" s="10"/>
      <c r="H17" s="10"/>
      <c r="I17" s="10"/>
    </row>
    <row r="18" customFormat="false" ht="23.25" hidden="false" customHeight="true" outlineLevel="0" collapsed="false">
      <c r="A18" s="3"/>
      <c r="B18" s="3" t="s">
        <v>268</v>
      </c>
      <c r="C18" s="10" t="s">
        <v>269</v>
      </c>
      <c r="D18" s="10"/>
      <c r="E18" s="10"/>
      <c r="F18" s="10"/>
      <c r="G18" s="10"/>
      <c r="H18" s="10"/>
      <c r="I18" s="10"/>
    </row>
    <row r="19" customFormat="false" ht="23.25" hidden="false" customHeight="true" outlineLevel="0" collapsed="false">
      <c r="A19" s="4" t="s">
        <v>270</v>
      </c>
      <c r="B19" s="12"/>
      <c r="C19" s="12"/>
      <c r="D19" s="12"/>
      <c r="E19" s="12"/>
      <c r="F19" s="12"/>
      <c r="G19" s="12"/>
      <c r="H19" s="12"/>
      <c r="I19" s="12"/>
    </row>
    <row r="20" customFormat="false" ht="15" hidden="false" customHeight="true" outlineLevel="0" collapsed="false">
      <c r="A20" s="3"/>
      <c r="B20" s="3" t="s">
        <v>234</v>
      </c>
      <c r="C20" s="10" t="s">
        <v>245</v>
      </c>
      <c r="D20" s="10"/>
      <c r="E20" s="10"/>
      <c r="F20" s="10" t="s">
        <v>237</v>
      </c>
      <c r="G20" s="10"/>
      <c r="H20" s="10"/>
      <c r="I20" s="10" t="s">
        <v>241</v>
      </c>
    </row>
    <row r="21" customFormat="false" ht="15" hidden="false" customHeight="true" outlineLevel="0" collapsed="false">
      <c r="A21" s="3"/>
      <c r="B21" s="3" t="s">
        <v>242</v>
      </c>
      <c r="C21" s="10" t="s">
        <v>243</v>
      </c>
      <c r="D21" s="10"/>
      <c r="E21" s="10"/>
      <c r="F21" s="10"/>
      <c r="G21" s="10"/>
      <c r="H21" s="10"/>
      <c r="I21" s="10"/>
    </row>
    <row r="22" customFormat="false" ht="15" hidden="false" customHeight="true" outlineLevel="0" collapsed="false">
      <c r="A22" s="3"/>
      <c r="B22" s="3" t="s">
        <v>244</v>
      </c>
      <c r="C22" s="10" t="s">
        <v>271</v>
      </c>
      <c r="D22" s="10"/>
      <c r="E22" s="10"/>
      <c r="F22" s="10"/>
      <c r="G22" s="10"/>
      <c r="H22" s="10"/>
      <c r="I22" s="10"/>
    </row>
    <row r="23" customFormat="false" ht="15" hidden="false" customHeight="true" outlineLevel="0" collapsed="false">
      <c r="A23" s="3"/>
      <c r="B23" s="3" t="s">
        <v>246</v>
      </c>
      <c r="C23" s="10" t="s">
        <v>272</v>
      </c>
      <c r="D23" s="10"/>
      <c r="E23" s="10"/>
      <c r="F23" s="10"/>
      <c r="G23" s="10"/>
      <c r="H23" s="10"/>
      <c r="I23" s="10"/>
    </row>
    <row r="24" customFormat="false" ht="15" hidden="false" customHeight="true" outlineLevel="0" collapsed="false">
      <c r="A24" s="3"/>
      <c r="B24" s="3" t="s">
        <v>248</v>
      </c>
      <c r="C24" s="10" t="s">
        <v>273</v>
      </c>
      <c r="D24" s="10"/>
      <c r="E24" s="10"/>
      <c r="F24" s="10"/>
      <c r="G24" s="10"/>
      <c r="H24" s="10"/>
      <c r="I24" s="10"/>
    </row>
    <row r="25" customFormat="false" ht="15" hidden="false" customHeight="true" outlineLevel="0" collapsed="false">
      <c r="A25" s="3"/>
      <c r="B25" s="3" t="s">
        <v>250</v>
      </c>
      <c r="C25" s="10" t="s">
        <v>274</v>
      </c>
      <c r="D25" s="10"/>
      <c r="E25" s="10"/>
      <c r="F25" s="10"/>
      <c r="G25" s="10"/>
      <c r="H25" s="10"/>
      <c r="I25" s="10"/>
    </row>
    <row r="26" customFormat="false" ht="15" hidden="false" customHeight="true" outlineLevel="0" collapsed="false">
      <c r="A26" s="3"/>
      <c r="B26" s="3" t="s">
        <v>252</v>
      </c>
      <c r="C26" s="10" t="s">
        <v>275</v>
      </c>
      <c r="D26" s="10"/>
      <c r="E26" s="10"/>
      <c r="F26" s="10"/>
      <c r="G26" s="10"/>
      <c r="H26" s="10"/>
      <c r="I26" s="10"/>
    </row>
    <row r="27" customFormat="false" ht="15" hidden="false" customHeight="true" outlineLevel="0" collapsed="false">
      <c r="A27" s="3"/>
      <c r="B27" s="3" t="s">
        <v>254</v>
      </c>
      <c r="C27" s="10" t="s">
        <v>276</v>
      </c>
      <c r="D27" s="10"/>
      <c r="E27" s="10"/>
      <c r="F27" s="10"/>
      <c r="G27" s="10"/>
      <c r="H27" s="10"/>
      <c r="I27" s="10"/>
    </row>
    <row r="28" customFormat="false" ht="15" hidden="false" customHeight="true" outlineLevel="0" collapsed="false">
      <c r="A28" s="3"/>
      <c r="B28" s="3" t="s">
        <v>256</v>
      </c>
      <c r="C28" s="10" t="s">
        <v>277</v>
      </c>
      <c r="D28" s="10"/>
      <c r="E28" s="10"/>
      <c r="F28" s="10"/>
      <c r="G28" s="10"/>
      <c r="H28" s="10"/>
      <c r="I28" s="10"/>
    </row>
    <row r="29" customFormat="false" ht="15" hidden="false" customHeight="true" outlineLevel="0" collapsed="false">
      <c r="A29" s="3"/>
      <c r="B29" s="3" t="s">
        <v>258</v>
      </c>
      <c r="C29" s="10" t="s">
        <v>278</v>
      </c>
      <c r="D29" s="10"/>
      <c r="E29" s="10"/>
      <c r="F29" s="10"/>
      <c r="G29" s="10"/>
      <c r="H29" s="10"/>
      <c r="I29" s="10"/>
    </row>
    <row r="30" customFormat="false" ht="15" hidden="false" customHeight="true" outlineLevel="0" collapsed="false">
      <c r="A30" s="3"/>
      <c r="B30" s="3" t="s">
        <v>260</v>
      </c>
      <c r="C30" s="10" t="s">
        <v>279</v>
      </c>
      <c r="D30" s="10"/>
      <c r="E30" s="10"/>
      <c r="F30" s="10"/>
      <c r="G30" s="10"/>
      <c r="H30" s="10"/>
      <c r="I30" s="10"/>
    </row>
    <row r="31" customFormat="false" ht="15" hidden="false" customHeight="true" outlineLevel="0" collapsed="false">
      <c r="A31" s="3"/>
      <c r="B31" s="3" t="s">
        <v>262</v>
      </c>
      <c r="C31" s="10" t="s">
        <v>280</v>
      </c>
      <c r="D31" s="10"/>
      <c r="E31" s="10"/>
      <c r="F31" s="10"/>
      <c r="G31" s="10"/>
      <c r="H31" s="10"/>
      <c r="I31" s="10"/>
    </row>
    <row r="32" customFormat="false" ht="15" hidden="false" customHeight="true" outlineLevel="0" collapsed="false">
      <c r="A32" s="3"/>
      <c r="B32" s="3" t="s">
        <v>264</v>
      </c>
      <c r="C32" s="10" t="s">
        <v>281</v>
      </c>
      <c r="D32" s="10"/>
      <c r="E32" s="10"/>
      <c r="F32" s="10"/>
      <c r="G32" s="10"/>
      <c r="H32" s="10"/>
      <c r="I32" s="10"/>
    </row>
    <row r="33" customFormat="false" ht="15" hidden="false" customHeight="true" outlineLevel="0" collapsed="false">
      <c r="A33" s="3"/>
      <c r="B33" s="3" t="s">
        <v>266</v>
      </c>
      <c r="C33" s="10" t="s">
        <v>282</v>
      </c>
      <c r="D33" s="10"/>
      <c r="E33" s="10"/>
      <c r="F33" s="10"/>
      <c r="G33" s="10"/>
      <c r="H33" s="10"/>
      <c r="I33" s="10"/>
    </row>
    <row r="34" customFormat="false" ht="23.25" hidden="false" customHeight="true" outlineLevel="0" collapsed="false">
      <c r="A34" s="3"/>
      <c r="B34" s="3" t="s">
        <v>268</v>
      </c>
      <c r="C34" s="10" t="s">
        <v>269</v>
      </c>
      <c r="D34" s="10"/>
      <c r="E34" s="10"/>
      <c r="F34" s="10"/>
      <c r="G34" s="10"/>
      <c r="H34" s="10"/>
      <c r="I34" s="10"/>
    </row>
    <row r="35" customFormat="false" ht="23.25" hidden="false" customHeight="true" outlineLevel="0" collapsed="false">
      <c r="A35" s="4" t="s">
        <v>283</v>
      </c>
      <c r="B35" s="12"/>
      <c r="C35" s="12"/>
      <c r="D35" s="12"/>
      <c r="E35" s="12"/>
      <c r="F35" s="12"/>
      <c r="G35" s="12"/>
      <c r="H35" s="12"/>
      <c r="I35" s="12"/>
    </row>
    <row r="36" customFormat="false" ht="15" hidden="false" customHeight="true" outlineLevel="0" collapsed="false">
      <c r="A36" s="3"/>
      <c r="B36" s="3" t="s">
        <v>234</v>
      </c>
      <c r="C36" s="10" t="s">
        <v>284</v>
      </c>
      <c r="D36" s="10"/>
      <c r="E36" s="10"/>
      <c r="F36" s="10" t="s">
        <v>237</v>
      </c>
      <c r="G36" s="10"/>
      <c r="H36" s="10"/>
      <c r="I36" s="10" t="s">
        <v>241</v>
      </c>
    </row>
    <row r="37" customFormat="false" ht="15" hidden="false" customHeight="true" outlineLevel="0" collapsed="false">
      <c r="A37" s="3"/>
      <c r="B37" s="3" t="s">
        <v>242</v>
      </c>
      <c r="C37" s="10" t="s">
        <v>285</v>
      </c>
      <c r="D37" s="10"/>
      <c r="E37" s="10"/>
      <c r="F37" s="10"/>
      <c r="G37" s="10"/>
      <c r="H37" s="10"/>
      <c r="I37" s="10"/>
    </row>
    <row r="38" customFormat="false" ht="15" hidden="false" customHeight="true" outlineLevel="0" collapsed="false">
      <c r="A38" s="3"/>
      <c r="B38" s="3" t="s">
        <v>244</v>
      </c>
      <c r="C38" s="10" t="s">
        <v>245</v>
      </c>
      <c r="D38" s="10"/>
      <c r="E38" s="10"/>
      <c r="F38" s="10"/>
      <c r="G38" s="10"/>
      <c r="H38" s="10"/>
      <c r="I38" s="10"/>
    </row>
    <row r="39" customFormat="false" ht="15" hidden="false" customHeight="true" outlineLevel="0" collapsed="false">
      <c r="A39" s="3"/>
      <c r="B39" s="3" t="s">
        <v>246</v>
      </c>
      <c r="C39" s="10" t="s">
        <v>286</v>
      </c>
      <c r="D39" s="10"/>
      <c r="E39" s="10"/>
      <c r="F39" s="10"/>
      <c r="G39" s="10"/>
      <c r="H39" s="10"/>
      <c r="I39" s="10"/>
    </row>
    <row r="40" customFormat="false" ht="15" hidden="false" customHeight="true" outlineLevel="0" collapsed="false">
      <c r="A40" s="3"/>
      <c r="B40" s="3" t="s">
        <v>248</v>
      </c>
      <c r="C40" s="10" t="s">
        <v>287</v>
      </c>
      <c r="D40" s="10"/>
      <c r="E40" s="10"/>
      <c r="F40" s="10"/>
      <c r="G40" s="10"/>
      <c r="H40" s="10"/>
      <c r="I40" s="10"/>
    </row>
    <row r="41" customFormat="false" ht="15" hidden="false" customHeight="true" outlineLevel="0" collapsed="false">
      <c r="A41" s="3"/>
      <c r="B41" s="3" t="s">
        <v>250</v>
      </c>
      <c r="C41" s="10" t="s">
        <v>288</v>
      </c>
      <c r="D41" s="10"/>
      <c r="E41" s="10"/>
      <c r="F41" s="10"/>
      <c r="G41" s="10"/>
      <c r="H41" s="10"/>
      <c r="I41" s="10"/>
    </row>
    <row r="42" customFormat="false" ht="15" hidden="false" customHeight="true" outlineLevel="0" collapsed="false">
      <c r="A42" s="3"/>
      <c r="B42" s="3" t="s">
        <v>252</v>
      </c>
      <c r="C42" s="10" t="s">
        <v>289</v>
      </c>
      <c r="D42" s="10"/>
      <c r="E42" s="10"/>
      <c r="F42" s="10"/>
      <c r="G42" s="10"/>
      <c r="H42" s="10"/>
      <c r="I42" s="10"/>
    </row>
    <row r="43" customFormat="false" ht="15" hidden="false" customHeight="true" outlineLevel="0" collapsed="false">
      <c r="A43" s="3"/>
      <c r="B43" s="3" t="s">
        <v>254</v>
      </c>
      <c r="C43" s="10" t="s">
        <v>290</v>
      </c>
      <c r="D43" s="10"/>
      <c r="E43" s="10"/>
      <c r="F43" s="10"/>
      <c r="G43" s="10"/>
      <c r="H43" s="10"/>
      <c r="I43" s="10"/>
    </row>
    <row r="44" customFormat="false" ht="15" hidden="false" customHeight="true" outlineLevel="0" collapsed="false">
      <c r="A44" s="3"/>
      <c r="B44" s="3" t="s">
        <v>256</v>
      </c>
      <c r="C44" s="10" t="s">
        <v>291</v>
      </c>
      <c r="D44" s="10"/>
      <c r="E44" s="10"/>
      <c r="F44" s="10"/>
      <c r="G44" s="10"/>
      <c r="H44" s="10"/>
      <c r="I44" s="10"/>
    </row>
    <row r="45" customFormat="false" ht="15" hidden="false" customHeight="true" outlineLevel="0" collapsed="false">
      <c r="A45" s="3"/>
      <c r="B45" s="3" t="s">
        <v>258</v>
      </c>
      <c r="C45" s="10" t="s">
        <v>292</v>
      </c>
      <c r="D45" s="10"/>
      <c r="E45" s="10"/>
      <c r="F45" s="10"/>
      <c r="G45" s="10"/>
      <c r="H45" s="10"/>
      <c r="I45" s="10"/>
    </row>
    <row r="46" customFormat="false" ht="15" hidden="false" customHeight="true" outlineLevel="0" collapsed="false">
      <c r="A46" s="3"/>
      <c r="B46" s="3" t="s">
        <v>260</v>
      </c>
      <c r="C46" s="10" t="s">
        <v>293</v>
      </c>
      <c r="D46" s="10"/>
      <c r="E46" s="10"/>
      <c r="F46" s="10"/>
      <c r="G46" s="10"/>
      <c r="H46" s="10"/>
      <c r="I46" s="10"/>
    </row>
    <row r="47" customFormat="false" ht="15" hidden="false" customHeight="true" outlineLevel="0" collapsed="false">
      <c r="A47" s="3"/>
      <c r="B47" s="3" t="s">
        <v>262</v>
      </c>
      <c r="C47" s="10" t="s">
        <v>294</v>
      </c>
      <c r="D47" s="10"/>
      <c r="E47" s="10"/>
      <c r="F47" s="10"/>
      <c r="G47" s="10"/>
      <c r="H47" s="10"/>
      <c r="I47" s="10"/>
    </row>
    <row r="48" customFormat="false" ht="15" hidden="false" customHeight="true" outlineLevel="0" collapsed="false">
      <c r="A48" s="3"/>
      <c r="B48" s="3" t="s">
        <v>264</v>
      </c>
      <c r="C48" s="10" t="s">
        <v>295</v>
      </c>
      <c r="D48" s="10"/>
      <c r="E48" s="10"/>
      <c r="F48" s="10"/>
      <c r="G48" s="10"/>
      <c r="H48" s="10"/>
      <c r="I48" s="10"/>
    </row>
    <row r="49" customFormat="false" ht="15" hidden="false" customHeight="true" outlineLevel="0" collapsed="false">
      <c r="A49" s="3"/>
      <c r="B49" s="3" t="s">
        <v>266</v>
      </c>
      <c r="C49" s="10" t="s">
        <v>296</v>
      </c>
      <c r="D49" s="10"/>
      <c r="E49" s="10"/>
      <c r="F49" s="10"/>
      <c r="G49" s="10"/>
      <c r="H49" s="10"/>
      <c r="I49" s="10"/>
    </row>
    <row r="50" customFormat="false" ht="23.25" hidden="false" customHeight="true" outlineLevel="0" collapsed="false">
      <c r="A50" s="3"/>
      <c r="B50" s="3" t="s">
        <v>268</v>
      </c>
      <c r="C50" s="10" t="s">
        <v>269</v>
      </c>
      <c r="D50" s="10"/>
      <c r="E50" s="10"/>
      <c r="F50" s="10"/>
      <c r="G50" s="10"/>
      <c r="H50" s="10"/>
      <c r="I50" s="10"/>
    </row>
    <row r="51" customFormat="false" ht="23.25" hidden="false" customHeight="true" outlineLevel="0" collapsed="false">
      <c r="A51" s="4" t="s">
        <v>297</v>
      </c>
      <c r="B51" s="12"/>
      <c r="C51" s="12"/>
      <c r="D51" s="12"/>
      <c r="E51" s="12"/>
      <c r="F51" s="12"/>
      <c r="G51" s="12"/>
      <c r="H51" s="12"/>
      <c r="I51" s="12"/>
    </row>
    <row r="52" customFormat="false" ht="15" hidden="false" customHeight="true" outlineLevel="0" collapsed="false">
      <c r="A52" s="3"/>
      <c r="B52" s="3" t="s">
        <v>234</v>
      </c>
      <c r="C52" s="10" t="s">
        <v>298</v>
      </c>
      <c r="D52" s="10"/>
      <c r="E52" s="10"/>
      <c r="F52" s="10" t="s">
        <v>237</v>
      </c>
      <c r="G52" s="10"/>
      <c r="H52" s="10"/>
      <c r="I52" s="10" t="s">
        <v>241</v>
      </c>
    </row>
    <row r="53" customFormat="false" ht="15" hidden="false" customHeight="true" outlineLevel="0" collapsed="false">
      <c r="A53" s="3"/>
      <c r="B53" s="3" t="s">
        <v>242</v>
      </c>
      <c r="C53" s="10" t="s">
        <v>299</v>
      </c>
      <c r="D53" s="10"/>
      <c r="E53" s="10"/>
      <c r="F53" s="10"/>
      <c r="G53" s="10"/>
      <c r="H53" s="10"/>
      <c r="I53" s="10"/>
    </row>
    <row r="54" customFormat="false" ht="15" hidden="false" customHeight="true" outlineLevel="0" collapsed="false">
      <c r="A54" s="3"/>
      <c r="B54" s="3" t="s">
        <v>244</v>
      </c>
      <c r="C54" s="10" t="s">
        <v>300</v>
      </c>
      <c r="D54" s="10"/>
      <c r="E54" s="10"/>
      <c r="F54" s="10"/>
      <c r="G54" s="10"/>
      <c r="H54" s="10"/>
      <c r="I54" s="10"/>
    </row>
    <row r="55" customFormat="false" ht="15" hidden="false" customHeight="true" outlineLevel="0" collapsed="false">
      <c r="A55" s="3"/>
      <c r="B55" s="3" t="s">
        <v>246</v>
      </c>
      <c r="C55" s="10" t="s">
        <v>301</v>
      </c>
      <c r="D55" s="10"/>
      <c r="E55" s="10"/>
      <c r="F55" s="10"/>
      <c r="G55" s="10"/>
      <c r="H55" s="10"/>
      <c r="I55" s="10"/>
    </row>
    <row r="56" customFormat="false" ht="15" hidden="false" customHeight="true" outlineLevel="0" collapsed="false">
      <c r="A56" s="3"/>
      <c r="B56" s="3" t="s">
        <v>248</v>
      </c>
      <c r="C56" s="10" t="s">
        <v>302</v>
      </c>
      <c r="D56" s="10"/>
      <c r="E56" s="10"/>
      <c r="F56" s="10"/>
      <c r="G56" s="10"/>
      <c r="H56" s="10"/>
      <c r="I56" s="10"/>
    </row>
    <row r="57" customFormat="false" ht="15" hidden="false" customHeight="true" outlineLevel="0" collapsed="false">
      <c r="A57" s="3"/>
      <c r="B57" s="3" t="s">
        <v>250</v>
      </c>
      <c r="C57" s="10" t="s">
        <v>303</v>
      </c>
      <c r="D57" s="10"/>
      <c r="E57" s="10"/>
      <c r="F57" s="10"/>
      <c r="G57" s="10"/>
      <c r="H57" s="10"/>
      <c r="I57" s="10"/>
    </row>
    <row r="58" customFormat="false" ht="15" hidden="false" customHeight="true" outlineLevel="0" collapsed="false">
      <c r="A58" s="3"/>
      <c r="B58" s="3" t="s">
        <v>252</v>
      </c>
      <c r="C58" s="10" t="s">
        <v>304</v>
      </c>
      <c r="D58" s="10"/>
      <c r="E58" s="10"/>
      <c r="F58" s="10"/>
      <c r="G58" s="10"/>
      <c r="H58" s="10"/>
      <c r="I58" s="10"/>
    </row>
    <row r="59" customFormat="false" ht="15" hidden="false" customHeight="true" outlineLevel="0" collapsed="false">
      <c r="A59" s="3"/>
      <c r="B59" s="3" t="s">
        <v>254</v>
      </c>
      <c r="C59" s="10" t="s">
        <v>305</v>
      </c>
      <c r="D59" s="10"/>
      <c r="E59" s="10"/>
      <c r="F59" s="10"/>
      <c r="G59" s="10"/>
      <c r="H59" s="10"/>
      <c r="I59" s="10"/>
    </row>
    <row r="60" customFormat="false" ht="15" hidden="false" customHeight="true" outlineLevel="0" collapsed="false">
      <c r="A60" s="3"/>
      <c r="B60" s="3" t="s">
        <v>256</v>
      </c>
      <c r="C60" s="10" t="s">
        <v>306</v>
      </c>
      <c r="D60" s="10"/>
      <c r="E60" s="10"/>
      <c r="F60" s="10"/>
      <c r="G60" s="10"/>
      <c r="H60" s="10"/>
      <c r="I60" s="10"/>
    </row>
    <row r="61" customFormat="false" ht="15" hidden="false" customHeight="true" outlineLevel="0" collapsed="false">
      <c r="A61" s="3"/>
      <c r="B61" s="3" t="s">
        <v>258</v>
      </c>
      <c r="C61" s="10" t="s">
        <v>307</v>
      </c>
      <c r="D61" s="10"/>
      <c r="E61" s="10"/>
      <c r="F61" s="10"/>
      <c r="G61" s="10"/>
      <c r="H61" s="10"/>
      <c r="I61" s="10"/>
    </row>
    <row r="62" customFormat="false" ht="15" hidden="false" customHeight="true" outlineLevel="0" collapsed="false">
      <c r="A62" s="3"/>
      <c r="B62" s="3" t="s">
        <v>260</v>
      </c>
      <c r="C62" s="10" t="s">
        <v>308</v>
      </c>
      <c r="D62" s="10"/>
      <c r="E62" s="10"/>
      <c r="F62" s="10"/>
      <c r="G62" s="10"/>
      <c r="H62" s="10"/>
      <c r="I62" s="10"/>
    </row>
    <row r="63" customFormat="false" ht="15" hidden="false" customHeight="true" outlineLevel="0" collapsed="false">
      <c r="A63" s="3"/>
      <c r="B63" s="3" t="s">
        <v>262</v>
      </c>
      <c r="C63" s="10" t="s">
        <v>309</v>
      </c>
      <c r="D63" s="10"/>
      <c r="E63" s="10"/>
      <c r="F63" s="10"/>
      <c r="G63" s="10"/>
      <c r="H63" s="10"/>
      <c r="I63" s="10"/>
    </row>
    <row r="64" customFormat="false" ht="15" hidden="false" customHeight="true" outlineLevel="0" collapsed="false">
      <c r="A64" s="3"/>
      <c r="B64" s="3" t="s">
        <v>264</v>
      </c>
      <c r="C64" s="10" t="s">
        <v>310</v>
      </c>
      <c r="D64" s="10"/>
      <c r="E64" s="10"/>
      <c r="F64" s="10"/>
      <c r="G64" s="10"/>
      <c r="H64" s="10"/>
      <c r="I64" s="10"/>
    </row>
    <row r="65" customFormat="false" ht="15" hidden="false" customHeight="true" outlineLevel="0" collapsed="false">
      <c r="A65" s="3"/>
      <c r="B65" s="3" t="s">
        <v>266</v>
      </c>
      <c r="C65" s="10" t="s">
        <v>311</v>
      </c>
      <c r="D65" s="10"/>
      <c r="E65" s="10"/>
      <c r="F65" s="10"/>
      <c r="G65" s="10"/>
      <c r="H65" s="10"/>
      <c r="I65" s="10"/>
    </row>
    <row r="66" customFormat="false" ht="23.25" hidden="false" customHeight="true" outlineLevel="0" collapsed="false">
      <c r="A66" s="3"/>
      <c r="B66" s="3" t="s">
        <v>268</v>
      </c>
      <c r="C66" s="10" t="s">
        <v>269</v>
      </c>
      <c r="D66" s="10"/>
      <c r="E66" s="10"/>
      <c r="F66" s="10"/>
      <c r="G66" s="10"/>
      <c r="H66" s="10"/>
      <c r="I66" s="10"/>
    </row>
    <row r="67" customFormat="false" ht="23.25" hidden="false" customHeight="true" outlineLevel="0" collapsed="false">
      <c r="A67" s="4" t="s">
        <v>312</v>
      </c>
      <c r="B67" s="12"/>
      <c r="C67" s="12"/>
      <c r="D67" s="12"/>
      <c r="E67" s="12"/>
      <c r="F67" s="12"/>
      <c r="G67" s="12"/>
      <c r="H67" s="12"/>
      <c r="I67" s="12"/>
    </row>
    <row r="68" customFormat="false" ht="15" hidden="false" customHeight="true" outlineLevel="0" collapsed="false">
      <c r="A68" s="3"/>
      <c r="B68" s="3" t="s">
        <v>234</v>
      </c>
      <c r="C68" s="10" t="s">
        <v>299</v>
      </c>
      <c r="D68" s="10"/>
      <c r="E68" s="10"/>
      <c r="F68" s="10" t="s">
        <v>237</v>
      </c>
      <c r="G68" s="10"/>
      <c r="H68" s="10"/>
      <c r="I68" s="10" t="s">
        <v>241</v>
      </c>
    </row>
    <row r="69" customFormat="false" ht="15" hidden="false" customHeight="true" outlineLevel="0" collapsed="false">
      <c r="A69" s="3"/>
      <c r="B69" s="3" t="s">
        <v>242</v>
      </c>
      <c r="C69" s="10" t="s">
        <v>313</v>
      </c>
      <c r="D69" s="10"/>
      <c r="E69" s="10"/>
      <c r="F69" s="10"/>
      <c r="G69" s="10"/>
      <c r="H69" s="10"/>
      <c r="I69" s="10"/>
    </row>
    <row r="70" customFormat="false" ht="15" hidden="false" customHeight="true" outlineLevel="0" collapsed="false">
      <c r="A70" s="3"/>
      <c r="B70" s="3" t="s">
        <v>244</v>
      </c>
      <c r="C70" s="10" t="s">
        <v>271</v>
      </c>
      <c r="D70" s="10"/>
      <c r="E70" s="10"/>
      <c r="F70" s="10"/>
      <c r="G70" s="10"/>
      <c r="H70" s="10"/>
      <c r="I70" s="10"/>
    </row>
    <row r="71" customFormat="false" ht="15" hidden="false" customHeight="true" outlineLevel="0" collapsed="false">
      <c r="A71" s="3"/>
      <c r="B71" s="3" t="s">
        <v>246</v>
      </c>
      <c r="C71" s="10" t="s">
        <v>314</v>
      </c>
      <c r="D71" s="10"/>
      <c r="E71" s="10"/>
      <c r="F71" s="10"/>
      <c r="G71" s="10"/>
      <c r="H71" s="10"/>
      <c r="I71" s="10"/>
    </row>
    <row r="72" customFormat="false" ht="15" hidden="false" customHeight="true" outlineLevel="0" collapsed="false">
      <c r="A72" s="3"/>
      <c r="B72" s="3" t="s">
        <v>248</v>
      </c>
      <c r="C72" s="10" t="s">
        <v>315</v>
      </c>
      <c r="D72" s="10"/>
      <c r="E72" s="10"/>
      <c r="F72" s="10"/>
      <c r="G72" s="10"/>
      <c r="H72" s="10"/>
      <c r="I72" s="10"/>
    </row>
    <row r="73" customFormat="false" ht="15" hidden="false" customHeight="true" outlineLevel="0" collapsed="false">
      <c r="A73" s="3"/>
      <c r="B73" s="3" t="s">
        <v>250</v>
      </c>
      <c r="C73" s="10" t="s">
        <v>316</v>
      </c>
      <c r="D73" s="10"/>
      <c r="E73" s="10"/>
      <c r="F73" s="10"/>
      <c r="G73" s="10"/>
      <c r="H73" s="10"/>
      <c r="I73" s="10"/>
    </row>
    <row r="74" customFormat="false" ht="15" hidden="false" customHeight="true" outlineLevel="0" collapsed="false">
      <c r="A74" s="3"/>
      <c r="B74" s="3" t="s">
        <v>252</v>
      </c>
      <c r="C74" s="10" t="s">
        <v>317</v>
      </c>
      <c r="D74" s="10"/>
      <c r="E74" s="10"/>
      <c r="F74" s="10"/>
      <c r="G74" s="10"/>
      <c r="H74" s="10"/>
      <c r="I74" s="10"/>
    </row>
    <row r="75" customFormat="false" ht="15" hidden="false" customHeight="true" outlineLevel="0" collapsed="false">
      <c r="A75" s="3"/>
      <c r="B75" s="3" t="s">
        <v>254</v>
      </c>
      <c r="C75" s="10" t="s">
        <v>318</v>
      </c>
      <c r="D75" s="10"/>
      <c r="E75" s="10"/>
      <c r="F75" s="10"/>
      <c r="G75" s="10"/>
      <c r="H75" s="10"/>
      <c r="I75" s="10"/>
    </row>
    <row r="76" customFormat="false" ht="15" hidden="false" customHeight="true" outlineLevel="0" collapsed="false">
      <c r="A76" s="3"/>
      <c r="B76" s="3" t="s">
        <v>256</v>
      </c>
      <c r="C76" s="10" t="s">
        <v>319</v>
      </c>
      <c r="D76" s="10"/>
      <c r="E76" s="10"/>
      <c r="F76" s="10"/>
      <c r="G76" s="10"/>
      <c r="H76" s="10"/>
      <c r="I76" s="10"/>
    </row>
    <row r="77" customFormat="false" ht="15" hidden="false" customHeight="true" outlineLevel="0" collapsed="false">
      <c r="A77" s="3"/>
      <c r="B77" s="3" t="s">
        <v>258</v>
      </c>
      <c r="C77" s="10" t="s">
        <v>320</v>
      </c>
      <c r="D77" s="10"/>
      <c r="E77" s="10"/>
      <c r="F77" s="10"/>
      <c r="G77" s="10"/>
      <c r="H77" s="10"/>
      <c r="I77" s="10"/>
    </row>
    <row r="78" customFormat="false" ht="15" hidden="false" customHeight="true" outlineLevel="0" collapsed="false">
      <c r="A78" s="3"/>
      <c r="B78" s="3" t="s">
        <v>260</v>
      </c>
      <c r="C78" s="10" t="s">
        <v>321</v>
      </c>
      <c r="D78" s="10"/>
      <c r="E78" s="10"/>
      <c r="F78" s="10"/>
      <c r="G78" s="10"/>
      <c r="H78" s="10"/>
      <c r="I78" s="10"/>
    </row>
    <row r="79" customFormat="false" ht="15" hidden="false" customHeight="true" outlineLevel="0" collapsed="false">
      <c r="A79" s="3"/>
      <c r="B79" s="3" t="s">
        <v>262</v>
      </c>
      <c r="C79" s="10" t="s">
        <v>322</v>
      </c>
      <c r="D79" s="10"/>
      <c r="E79" s="10"/>
      <c r="F79" s="10"/>
      <c r="G79" s="10"/>
      <c r="H79" s="10"/>
      <c r="I79" s="10"/>
    </row>
    <row r="80" customFormat="false" ht="15" hidden="false" customHeight="true" outlineLevel="0" collapsed="false">
      <c r="A80" s="3"/>
      <c r="B80" s="3" t="s">
        <v>264</v>
      </c>
      <c r="C80" s="10" t="s">
        <v>323</v>
      </c>
      <c r="D80" s="10"/>
      <c r="E80" s="10"/>
      <c r="F80" s="10"/>
      <c r="G80" s="10"/>
      <c r="H80" s="10"/>
      <c r="I80" s="10"/>
    </row>
    <row r="81" customFormat="false" ht="15" hidden="false" customHeight="true" outlineLevel="0" collapsed="false">
      <c r="A81" s="3"/>
      <c r="B81" s="3" t="s">
        <v>266</v>
      </c>
      <c r="C81" s="10" t="s">
        <v>324</v>
      </c>
      <c r="D81" s="10"/>
      <c r="E81" s="10"/>
      <c r="F81" s="10"/>
      <c r="G81" s="10"/>
      <c r="H81" s="10"/>
      <c r="I81" s="10"/>
    </row>
    <row r="82" customFormat="false" ht="23.25" hidden="false" customHeight="true" outlineLevel="0" collapsed="false">
      <c r="A82" s="3"/>
      <c r="B82" s="3" t="s">
        <v>268</v>
      </c>
      <c r="C82" s="10" t="s">
        <v>269</v>
      </c>
      <c r="D82" s="10"/>
      <c r="E82" s="10"/>
      <c r="F82" s="10"/>
      <c r="G82" s="10"/>
      <c r="H82" s="10"/>
      <c r="I82" s="10"/>
    </row>
    <row r="83" customFormat="false" ht="23.25" hidden="false" customHeight="true" outlineLevel="0" collapsed="false">
      <c r="A83" s="4" t="s">
        <v>325</v>
      </c>
      <c r="B83" s="12"/>
      <c r="C83" s="12"/>
      <c r="D83" s="12"/>
      <c r="E83" s="12"/>
      <c r="F83" s="12"/>
      <c r="G83" s="12"/>
      <c r="H83" s="12"/>
      <c r="I83" s="12"/>
    </row>
    <row r="84" customFormat="false" ht="15" hidden="false" customHeight="true" outlineLevel="0" collapsed="false">
      <c r="A84" s="3"/>
      <c r="B84" s="3" t="s">
        <v>234</v>
      </c>
      <c r="C84" s="10" t="s">
        <v>284</v>
      </c>
      <c r="D84" s="10"/>
      <c r="E84" s="10"/>
      <c r="F84" s="10" t="s">
        <v>237</v>
      </c>
      <c r="G84" s="10"/>
      <c r="H84" s="10"/>
      <c r="I84" s="10" t="s">
        <v>241</v>
      </c>
    </row>
    <row r="85" customFormat="false" ht="15" hidden="false" customHeight="true" outlineLevel="0" collapsed="false">
      <c r="A85" s="3"/>
      <c r="B85" s="3" t="s">
        <v>242</v>
      </c>
      <c r="C85" s="10" t="s">
        <v>299</v>
      </c>
      <c r="D85" s="10"/>
      <c r="E85" s="10"/>
      <c r="F85" s="10"/>
      <c r="G85" s="10"/>
      <c r="H85" s="10"/>
      <c r="I85" s="10"/>
    </row>
    <row r="86" customFormat="false" ht="15" hidden="false" customHeight="true" outlineLevel="0" collapsed="false">
      <c r="A86" s="3"/>
      <c r="B86" s="3" t="s">
        <v>244</v>
      </c>
      <c r="C86" s="10" t="s">
        <v>240</v>
      </c>
      <c r="D86" s="10"/>
      <c r="E86" s="10"/>
      <c r="F86" s="10"/>
      <c r="G86" s="10"/>
      <c r="H86" s="10"/>
      <c r="I86" s="10"/>
    </row>
    <row r="87" customFormat="false" ht="15" hidden="false" customHeight="true" outlineLevel="0" collapsed="false">
      <c r="A87" s="3"/>
      <c r="B87" s="3" t="s">
        <v>246</v>
      </c>
      <c r="C87" s="10" t="s">
        <v>326</v>
      </c>
      <c r="D87" s="10"/>
      <c r="E87" s="10"/>
      <c r="F87" s="10"/>
      <c r="G87" s="10"/>
      <c r="H87" s="10"/>
      <c r="I87" s="10"/>
    </row>
    <row r="88" customFormat="false" ht="15" hidden="false" customHeight="true" outlineLevel="0" collapsed="false">
      <c r="A88" s="3"/>
      <c r="B88" s="3" t="s">
        <v>248</v>
      </c>
      <c r="C88" s="10" t="s">
        <v>327</v>
      </c>
      <c r="D88" s="10"/>
      <c r="E88" s="10"/>
      <c r="F88" s="10"/>
      <c r="G88" s="10"/>
      <c r="H88" s="10"/>
      <c r="I88" s="10"/>
    </row>
    <row r="89" customFormat="false" ht="15" hidden="false" customHeight="true" outlineLevel="0" collapsed="false">
      <c r="A89" s="3"/>
      <c r="B89" s="3" t="s">
        <v>250</v>
      </c>
      <c r="C89" s="10" t="s">
        <v>328</v>
      </c>
      <c r="D89" s="10"/>
      <c r="E89" s="10"/>
      <c r="F89" s="10"/>
      <c r="G89" s="10"/>
      <c r="H89" s="10"/>
      <c r="I89" s="10"/>
    </row>
    <row r="90" customFormat="false" ht="15" hidden="false" customHeight="true" outlineLevel="0" collapsed="false">
      <c r="A90" s="3"/>
      <c r="B90" s="3" t="s">
        <v>252</v>
      </c>
      <c r="C90" s="10" t="s">
        <v>329</v>
      </c>
      <c r="D90" s="10"/>
      <c r="E90" s="10"/>
      <c r="F90" s="10"/>
      <c r="G90" s="10"/>
      <c r="H90" s="10"/>
      <c r="I90" s="10"/>
    </row>
    <row r="91" customFormat="false" ht="15" hidden="false" customHeight="true" outlineLevel="0" collapsed="false">
      <c r="A91" s="3"/>
      <c r="B91" s="3" t="s">
        <v>254</v>
      </c>
      <c r="C91" s="10" t="s">
        <v>330</v>
      </c>
      <c r="D91" s="10"/>
      <c r="E91" s="10"/>
      <c r="F91" s="10"/>
      <c r="G91" s="10"/>
      <c r="H91" s="10"/>
      <c r="I91" s="10"/>
    </row>
    <row r="92" customFormat="false" ht="15" hidden="false" customHeight="true" outlineLevel="0" collapsed="false">
      <c r="A92" s="3"/>
      <c r="B92" s="3" t="s">
        <v>256</v>
      </c>
      <c r="C92" s="10" t="s">
        <v>331</v>
      </c>
      <c r="D92" s="10"/>
      <c r="E92" s="10"/>
      <c r="F92" s="10"/>
      <c r="G92" s="10"/>
      <c r="H92" s="10"/>
      <c r="I92" s="10"/>
    </row>
    <row r="93" customFormat="false" ht="15" hidden="false" customHeight="true" outlineLevel="0" collapsed="false">
      <c r="A93" s="3"/>
      <c r="B93" s="3" t="s">
        <v>258</v>
      </c>
      <c r="C93" s="10" t="s">
        <v>332</v>
      </c>
      <c r="D93" s="10"/>
      <c r="E93" s="10"/>
      <c r="F93" s="10"/>
      <c r="G93" s="10"/>
      <c r="H93" s="10"/>
      <c r="I93" s="10"/>
    </row>
    <row r="94" customFormat="false" ht="15" hidden="false" customHeight="true" outlineLevel="0" collapsed="false">
      <c r="A94" s="3"/>
      <c r="B94" s="3" t="s">
        <v>260</v>
      </c>
      <c r="C94" s="10" t="s">
        <v>333</v>
      </c>
      <c r="D94" s="10"/>
      <c r="E94" s="10"/>
      <c r="F94" s="10"/>
      <c r="G94" s="10"/>
      <c r="H94" s="10"/>
      <c r="I94" s="10"/>
    </row>
    <row r="95" customFormat="false" ht="15" hidden="false" customHeight="true" outlineLevel="0" collapsed="false">
      <c r="A95" s="3"/>
      <c r="B95" s="3" t="s">
        <v>262</v>
      </c>
      <c r="C95" s="10" t="s">
        <v>334</v>
      </c>
      <c r="D95" s="10"/>
      <c r="E95" s="10"/>
      <c r="F95" s="10"/>
      <c r="G95" s="10"/>
      <c r="H95" s="10"/>
      <c r="I95" s="10"/>
    </row>
    <row r="96" customFormat="false" ht="15" hidden="false" customHeight="true" outlineLevel="0" collapsed="false">
      <c r="A96" s="3"/>
      <c r="B96" s="3" t="s">
        <v>264</v>
      </c>
      <c r="C96" s="10" t="s">
        <v>335</v>
      </c>
      <c r="D96" s="10"/>
      <c r="E96" s="10"/>
      <c r="F96" s="10"/>
      <c r="G96" s="10"/>
      <c r="H96" s="10"/>
      <c r="I96" s="10"/>
    </row>
    <row r="97" customFormat="false" ht="15" hidden="false" customHeight="true" outlineLevel="0" collapsed="false">
      <c r="A97" s="3"/>
      <c r="B97" s="3" t="s">
        <v>266</v>
      </c>
      <c r="C97" s="10" t="s">
        <v>336</v>
      </c>
      <c r="D97" s="10"/>
      <c r="E97" s="10"/>
      <c r="F97" s="10"/>
      <c r="G97" s="10"/>
      <c r="H97" s="10"/>
      <c r="I97" s="10"/>
    </row>
    <row r="98" customFormat="false" ht="23.25" hidden="false" customHeight="true" outlineLevel="0" collapsed="false">
      <c r="A98" s="3"/>
      <c r="B98" s="3" t="s">
        <v>268</v>
      </c>
      <c r="C98" s="10" t="s">
        <v>337</v>
      </c>
      <c r="D98" s="10"/>
      <c r="E98" s="10"/>
      <c r="F98" s="10"/>
      <c r="G98" s="10"/>
      <c r="H98" s="10"/>
      <c r="I98" s="10"/>
    </row>
    <row r="99" customFormat="false" ht="23.25" hidden="false" customHeight="true" outlineLevel="0" collapsed="false">
      <c r="A99" s="4" t="s">
        <v>338</v>
      </c>
      <c r="B99" s="12"/>
      <c r="C99" s="12"/>
      <c r="D99" s="12"/>
      <c r="E99" s="12"/>
      <c r="F99" s="12"/>
      <c r="G99" s="12"/>
      <c r="H99" s="12"/>
      <c r="I99" s="12"/>
    </row>
    <row r="100" customFormat="false" ht="15" hidden="false" customHeight="true" outlineLevel="0" collapsed="false">
      <c r="A100" s="3"/>
      <c r="B100" s="3" t="s">
        <v>234</v>
      </c>
      <c r="C100" s="10" t="s">
        <v>285</v>
      </c>
      <c r="D100" s="10"/>
      <c r="E100" s="10"/>
      <c r="F100" s="10" t="s">
        <v>237</v>
      </c>
      <c r="G100" s="10"/>
      <c r="H100" s="10"/>
      <c r="I100" s="10" t="s">
        <v>241</v>
      </c>
    </row>
    <row r="101" customFormat="false" ht="15" hidden="false" customHeight="true" outlineLevel="0" collapsed="false">
      <c r="A101" s="3"/>
      <c r="B101" s="3" t="s">
        <v>242</v>
      </c>
      <c r="C101" s="10" t="s">
        <v>271</v>
      </c>
      <c r="D101" s="10"/>
      <c r="E101" s="10"/>
      <c r="F101" s="10"/>
      <c r="G101" s="10"/>
      <c r="H101" s="10"/>
      <c r="I101" s="10"/>
    </row>
    <row r="102" customFormat="false" ht="15" hidden="false" customHeight="true" outlineLevel="0" collapsed="false">
      <c r="A102" s="3"/>
      <c r="B102" s="3" t="s">
        <v>244</v>
      </c>
      <c r="C102" s="10" t="s">
        <v>271</v>
      </c>
      <c r="D102" s="10"/>
      <c r="E102" s="10"/>
      <c r="F102" s="10"/>
      <c r="G102" s="10"/>
      <c r="H102" s="10"/>
      <c r="I102" s="10"/>
    </row>
    <row r="103" customFormat="false" ht="15" hidden="false" customHeight="true" outlineLevel="0" collapsed="false">
      <c r="A103" s="3"/>
      <c r="B103" s="3" t="s">
        <v>246</v>
      </c>
      <c r="C103" s="10" t="s">
        <v>339</v>
      </c>
      <c r="D103" s="10"/>
      <c r="E103" s="10"/>
      <c r="F103" s="10"/>
      <c r="G103" s="10"/>
      <c r="H103" s="10"/>
      <c r="I103" s="10"/>
    </row>
    <row r="104" customFormat="false" ht="15" hidden="false" customHeight="true" outlineLevel="0" collapsed="false">
      <c r="A104" s="3"/>
      <c r="B104" s="3" t="s">
        <v>248</v>
      </c>
      <c r="C104" s="10" t="s">
        <v>340</v>
      </c>
      <c r="D104" s="10"/>
      <c r="E104" s="10"/>
      <c r="F104" s="10"/>
      <c r="G104" s="10"/>
      <c r="H104" s="10"/>
      <c r="I104" s="10"/>
    </row>
    <row r="105" customFormat="false" ht="15" hidden="false" customHeight="true" outlineLevel="0" collapsed="false">
      <c r="A105" s="3"/>
      <c r="B105" s="3" t="s">
        <v>250</v>
      </c>
      <c r="C105" s="10" t="s">
        <v>341</v>
      </c>
      <c r="D105" s="10"/>
      <c r="E105" s="10"/>
      <c r="F105" s="10"/>
      <c r="G105" s="10"/>
      <c r="H105" s="10"/>
      <c r="I105" s="10"/>
    </row>
    <row r="106" customFormat="false" ht="15" hidden="false" customHeight="true" outlineLevel="0" collapsed="false">
      <c r="A106" s="3"/>
      <c r="B106" s="3" t="s">
        <v>252</v>
      </c>
      <c r="C106" s="10" t="s">
        <v>342</v>
      </c>
      <c r="D106" s="10"/>
      <c r="E106" s="10"/>
      <c r="F106" s="10"/>
      <c r="G106" s="10"/>
      <c r="H106" s="10"/>
      <c r="I106" s="10"/>
    </row>
    <row r="107" customFormat="false" ht="15" hidden="false" customHeight="true" outlineLevel="0" collapsed="false">
      <c r="A107" s="3"/>
      <c r="B107" s="3" t="s">
        <v>254</v>
      </c>
      <c r="C107" s="10" t="s">
        <v>343</v>
      </c>
      <c r="D107" s="10"/>
      <c r="E107" s="10"/>
      <c r="F107" s="10"/>
      <c r="G107" s="10"/>
      <c r="H107" s="10"/>
      <c r="I107" s="10"/>
    </row>
    <row r="108" customFormat="false" ht="15" hidden="false" customHeight="true" outlineLevel="0" collapsed="false">
      <c r="A108" s="3"/>
      <c r="B108" s="3" t="s">
        <v>256</v>
      </c>
      <c r="C108" s="10" t="s">
        <v>344</v>
      </c>
      <c r="D108" s="10"/>
      <c r="E108" s="10"/>
      <c r="F108" s="10"/>
      <c r="G108" s="10"/>
      <c r="H108" s="10"/>
      <c r="I108" s="10"/>
    </row>
    <row r="109" customFormat="false" ht="15" hidden="false" customHeight="true" outlineLevel="0" collapsed="false">
      <c r="A109" s="3"/>
      <c r="B109" s="3" t="s">
        <v>258</v>
      </c>
      <c r="C109" s="10" t="s">
        <v>345</v>
      </c>
      <c r="D109" s="10"/>
      <c r="E109" s="10"/>
      <c r="F109" s="10"/>
      <c r="G109" s="10"/>
      <c r="H109" s="10"/>
      <c r="I109" s="10"/>
    </row>
    <row r="110" customFormat="false" ht="15" hidden="false" customHeight="true" outlineLevel="0" collapsed="false">
      <c r="A110" s="3"/>
      <c r="B110" s="3" t="s">
        <v>260</v>
      </c>
      <c r="C110" s="10" t="s">
        <v>346</v>
      </c>
      <c r="D110" s="10"/>
      <c r="E110" s="10"/>
      <c r="F110" s="10"/>
      <c r="G110" s="10"/>
      <c r="H110" s="10"/>
      <c r="I110" s="10"/>
    </row>
    <row r="111" customFormat="false" ht="15" hidden="false" customHeight="true" outlineLevel="0" collapsed="false">
      <c r="A111" s="3"/>
      <c r="B111" s="3" t="s">
        <v>262</v>
      </c>
      <c r="C111" s="10" t="s">
        <v>347</v>
      </c>
      <c r="D111" s="10"/>
      <c r="E111" s="10"/>
      <c r="F111" s="10"/>
      <c r="G111" s="10"/>
      <c r="H111" s="10"/>
      <c r="I111" s="10"/>
    </row>
    <row r="112" customFormat="false" ht="15" hidden="false" customHeight="true" outlineLevel="0" collapsed="false">
      <c r="A112" s="3"/>
      <c r="B112" s="3" t="s">
        <v>264</v>
      </c>
      <c r="C112" s="10" t="s">
        <v>348</v>
      </c>
      <c r="D112" s="10"/>
      <c r="E112" s="10"/>
      <c r="F112" s="10"/>
      <c r="G112" s="10"/>
      <c r="H112" s="10"/>
      <c r="I112" s="10"/>
    </row>
    <row r="113" customFormat="false" ht="15" hidden="false" customHeight="true" outlineLevel="0" collapsed="false">
      <c r="A113" s="3"/>
      <c r="B113" s="3" t="s">
        <v>266</v>
      </c>
      <c r="C113" s="10" t="s">
        <v>349</v>
      </c>
      <c r="D113" s="10"/>
      <c r="E113" s="10"/>
      <c r="F113" s="10"/>
      <c r="G113" s="10"/>
      <c r="H113" s="10"/>
      <c r="I113" s="10"/>
    </row>
    <row r="114" customFormat="false" ht="23.25" hidden="false" customHeight="true" outlineLevel="0" collapsed="false">
      <c r="A114" s="3"/>
      <c r="B114" s="3" t="s">
        <v>268</v>
      </c>
      <c r="C114" s="10" t="s">
        <v>269</v>
      </c>
      <c r="D114" s="10"/>
      <c r="E114" s="10"/>
      <c r="F114" s="10"/>
      <c r="G114" s="10"/>
      <c r="H114" s="10"/>
      <c r="I114" s="10"/>
    </row>
    <row r="115" customFormat="false" ht="15" hidden="false" customHeight="true" outlineLevel="0" collapsed="false">
      <c r="A115" s="4" t="s">
        <v>350</v>
      </c>
      <c r="B115" s="12"/>
      <c r="C115" s="12"/>
      <c r="D115" s="12"/>
      <c r="E115" s="12"/>
      <c r="F115" s="12"/>
      <c r="G115" s="12"/>
      <c r="H115" s="12"/>
      <c r="I115" s="12"/>
    </row>
    <row r="116" customFormat="false" ht="15" hidden="false" customHeight="true" outlineLevel="0" collapsed="false">
      <c r="A116" s="3"/>
      <c r="B116" s="3" t="s">
        <v>234</v>
      </c>
      <c r="C116" s="10" t="s">
        <v>271</v>
      </c>
      <c r="D116" s="10"/>
      <c r="E116" s="10"/>
      <c r="F116" s="10" t="s">
        <v>237</v>
      </c>
      <c r="G116" s="10"/>
      <c r="H116" s="10"/>
      <c r="I116" s="10" t="s">
        <v>241</v>
      </c>
    </row>
    <row r="117" customFormat="false" ht="15" hidden="false" customHeight="true" outlineLevel="0" collapsed="false">
      <c r="A117" s="3"/>
      <c r="B117" s="3" t="s">
        <v>242</v>
      </c>
      <c r="C117" s="10" t="s">
        <v>299</v>
      </c>
      <c r="D117" s="10"/>
      <c r="E117" s="10"/>
      <c r="F117" s="10"/>
      <c r="G117" s="10"/>
      <c r="H117" s="10"/>
      <c r="I117" s="10"/>
    </row>
    <row r="118" customFormat="false" ht="15" hidden="false" customHeight="true" outlineLevel="0" collapsed="false">
      <c r="A118" s="3"/>
      <c r="B118" s="3" t="s">
        <v>244</v>
      </c>
      <c r="C118" s="10" t="s">
        <v>284</v>
      </c>
      <c r="D118" s="10"/>
      <c r="E118" s="10"/>
      <c r="F118" s="10"/>
      <c r="G118" s="10"/>
      <c r="H118" s="10"/>
      <c r="I118" s="10"/>
    </row>
    <row r="119" customFormat="false" ht="15" hidden="false" customHeight="true" outlineLevel="0" collapsed="false">
      <c r="A119" s="3"/>
      <c r="B119" s="3" t="s">
        <v>246</v>
      </c>
      <c r="C119" s="10" t="s">
        <v>351</v>
      </c>
      <c r="D119" s="10"/>
      <c r="E119" s="10"/>
      <c r="F119" s="10"/>
      <c r="G119" s="10"/>
      <c r="H119" s="10"/>
      <c r="I119" s="10"/>
    </row>
    <row r="120" customFormat="false" ht="15" hidden="false" customHeight="true" outlineLevel="0" collapsed="false">
      <c r="A120" s="3"/>
      <c r="B120" s="3" t="s">
        <v>248</v>
      </c>
      <c r="C120" s="10" t="s">
        <v>352</v>
      </c>
      <c r="D120" s="10"/>
      <c r="E120" s="10"/>
      <c r="F120" s="10"/>
      <c r="G120" s="10"/>
      <c r="H120" s="10"/>
      <c r="I120" s="10"/>
    </row>
    <row r="121" customFormat="false" ht="15" hidden="false" customHeight="true" outlineLevel="0" collapsed="false">
      <c r="A121" s="3"/>
      <c r="B121" s="3" t="s">
        <v>250</v>
      </c>
      <c r="C121" s="10" t="s">
        <v>353</v>
      </c>
      <c r="D121" s="10"/>
      <c r="E121" s="10"/>
      <c r="F121" s="10"/>
      <c r="G121" s="10"/>
      <c r="H121" s="10"/>
      <c r="I121" s="10"/>
    </row>
    <row r="122" customFormat="false" ht="15" hidden="false" customHeight="true" outlineLevel="0" collapsed="false">
      <c r="A122" s="3"/>
      <c r="B122" s="3" t="s">
        <v>252</v>
      </c>
      <c r="C122" s="10" t="s">
        <v>354</v>
      </c>
      <c r="D122" s="10"/>
      <c r="E122" s="10"/>
      <c r="F122" s="10"/>
      <c r="G122" s="10"/>
      <c r="H122" s="10"/>
      <c r="I122" s="10"/>
    </row>
    <row r="123" customFormat="false" ht="15" hidden="false" customHeight="true" outlineLevel="0" collapsed="false">
      <c r="A123" s="3"/>
      <c r="B123" s="3" t="s">
        <v>254</v>
      </c>
      <c r="C123" s="10" t="s">
        <v>355</v>
      </c>
      <c r="D123" s="10"/>
      <c r="E123" s="10"/>
      <c r="F123" s="10"/>
      <c r="G123" s="10"/>
      <c r="H123" s="10"/>
      <c r="I123" s="10"/>
    </row>
    <row r="124" customFormat="false" ht="15" hidden="false" customHeight="true" outlineLevel="0" collapsed="false">
      <c r="A124" s="3"/>
      <c r="B124" s="3" t="s">
        <v>256</v>
      </c>
      <c r="C124" s="10" t="s">
        <v>356</v>
      </c>
      <c r="D124" s="10"/>
      <c r="E124" s="10"/>
      <c r="F124" s="10"/>
      <c r="G124" s="10"/>
      <c r="H124" s="10"/>
      <c r="I124" s="10"/>
    </row>
    <row r="125" customFormat="false" ht="15" hidden="false" customHeight="true" outlineLevel="0" collapsed="false">
      <c r="A125" s="3"/>
      <c r="B125" s="3" t="s">
        <v>258</v>
      </c>
      <c r="C125" s="10" t="s">
        <v>357</v>
      </c>
      <c r="D125" s="10"/>
      <c r="E125" s="10"/>
      <c r="F125" s="10"/>
      <c r="G125" s="10"/>
      <c r="H125" s="10"/>
      <c r="I125" s="10"/>
    </row>
    <row r="126" customFormat="false" ht="15" hidden="false" customHeight="true" outlineLevel="0" collapsed="false">
      <c r="A126" s="3"/>
      <c r="B126" s="3" t="s">
        <v>260</v>
      </c>
      <c r="C126" s="10" t="s">
        <v>358</v>
      </c>
      <c r="D126" s="10"/>
      <c r="E126" s="10"/>
      <c r="F126" s="10"/>
      <c r="G126" s="10"/>
      <c r="H126" s="10"/>
      <c r="I126" s="10"/>
    </row>
    <row r="127" customFormat="false" ht="15" hidden="false" customHeight="true" outlineLevel="0" collapsed="false">
      <c r="A127" s="3"/>
      <c r="B127" s="3" t="s">
        <v>262</v>
      </c>
      <c r="C127" s="10" t="s">
        <v>359</v>
      </c>
      <c r="D127" s="10"/>
      <c r="E127" s="10"/>
      <c r="F127" s="10"/>
      <c r="G127" s="10"/>
      <c r="H127" s="10"/>
      <c r="I127" s="10"/>
    </row>
    <row r="128" customFormat="false" ht="15" hidden="false" customHeight="true" outlineLevel="0" collapsed="false">
      <c r="A128" s="3"/>
      <c r="B128" s="3" t="s">
        <v>264</v>
      </c>
      <c r="C128" s="10" t="s">
        <v>360</v>
      </c>
      <c r="D128" s="10"/>
      <c r="E128" s="10"/>
      <c r="F128" s="10"/>
      <c r="G128" s="10"/>
      <c r="H128" s="10"/>
      <c r="I128" s="10"/>
    </row>
    <row r="129" customFormat="false" ht="15" hidden="false" customHeight="true" outlineLevel="0" collapsed="false">
      <c r="A129" s="3"/>
      <c r="B129" s="3" t="s">
        <v>266</v>
      </c>
      <c r="C129" s="10" t="s">
        <v>361</v>
      </c>
      <c r="D129" s="10"/>
      <c r="E129" s="10"/>
      <c r="F129" s="10"/>
      <c r="G129" s="10"/>
      <c r="H129" s="10"/>
      <c r="I129" s="10"/>
    </row>
    <row r="130" customFormat="false" ht="23.25" hidden="false" customHeight="true" outlineLevel="0" collapsed="false">
      <c r="A130" s="3"/>
      <c r="B130" s="3" t="s">
        <v>268</v>
      </c>
      <c r="C130" s="10" t="s">
        <v>269</v>
      </c>
      <c r="D130" s="10"/>
      <c r="E130" s="10"/>
      <c r="F130" s="10"/>
      <c r="G130" s="10"/>
      <c r="H130" s="10"/>
      <c r="I130" s="10"/>
    </row>
    <row r="131" customFormat="false" ht="23.25" hidden="false" customHeight="true" outlineLevel="0" collapsed="false">
      <c r="A131" s="4" t="s">
        <v>362</v>
      </c>
      <c r="B131" s="12"/>
      <c r="C131" s="12"/>
      <c r="D131" s="12"/>
      <c r="E131" s="12"/>
      <c r="F131" s="12"/>
      <c r="G131" s="12"/>
      <c r="H131" s="12"/>
      <c r="I131" s="12"/>
    </row>
    <row r="132" customFormat="false" ht="15" hidden="false" customHeight="true" outlineLevel="0" collapsed="false">
      <c r="A132" s="3"/>
      <c r="B132" s="3" t="s">
        <v>234</v>
      </c>
      <c r="C132" s="10" t="s">
        <v>243</v>
      </c>
      <c r="D132" s="10"/>
      <c r="E132" s="10"/>
      <c r="F132" s="10" t="s">
        <v>237</v>
      </c>
      <c r="G132" s="10"/>
      <c r="H132" s="10"/>
      <c r="I132" s="10" t="s">
        <v>241</v>
      </c>
    </row>
    <row r="133" customFormat="false" ht="15" hidden="false" customHeight="true" outlineLevel="0" collapsed="false">
      <c r="A133" s="3"/>
      <c r="B133" s="3" t="s">
        <v>242</v>
      </c>
      <c r="C133" s="10" t="s">
        <v>363</v>
      </c>
      <c r="D133" s="10"/>
      <c r="E133" s="10"/>
      <c r="F133" s="10"/>
      <c r="G133" s="10"/>
      <c r="H133" s="10"/>
      <c r="I133" s="10"/>
    </row>
    <row r="134" customFormat="false" ht="15" hidden="false" customHeight="true" outlineLevel="0" collapsed="false">
      <c r="A134" s="3"/>
      <c r="B134" s="3" t="s">
        <v>244</v>
      </c>
      <c r="C134" s="10" t="s">
        <v>364</v>
      </c>
      <c r="D134" s="10"/>
      <c r="E134" s="10"/>
      <c r="F134" s="10" t="s">
        <v>237</v>
      </c>
      <c r="G134" s="10"/>
      <c r="H134" s="10"/>
      <c r="I134" s="10" t="s">
        <v>365</v>
      </c>
    </row>
    <row r="135" customFormat="false" ht="15" hidden="false" customHeight="true" outlineLevel="0" collapsed="false">
      <c r="A135" s="3"/>
      <c r="B135" s="3" t="s">
        <v>246</v>
      </c>
      <c r="C135" s="10" t="s">
        <v>366</v>
      </c>
      <c r="D135" s="10"/>
      <c r="E135" s="10"/>
      <c r="F135" s="10"/>
      <c r="G135" s="10"/>
      <c r="H135" s="10"/>
      <c r="I135" s="10"/>
    </row>
    <row r="136" customFormat="false" ht="15" hidden="false" customHeight="true" outlineLevel="0" collapsed="false">
      <c r="A136" s="3"/>
      <c r="B136" s="3" t="s">
        <v>248</v>
      </c>
      <c r="C136" s="10" t="s">
        <v>367</v>
      </c>
      <c r="D136" s="10"/>
      <c r="E136" s="10"/>
      <c r="F136" s="10"/>
      <c r="G136" s="10"/>
      <c r="H136" s="10"/>
      <c r="I136" s="10"/>
    </row>
    <row r="137" customFormat="false" ht="15" hidden="false" customHeight="true" outlineLevel="0" collapsed="false">
      <c r="A137" s="3"/>
      <c r="B137" s="3" t="s">
        <v>250</v>
      </c>
      <c r="C137" s="10" t="s">
        <v>368</v>
      </c>
      <c r="D137" s="10"/>
      <c r="E137" s="10"/>
      <c r="F137" s="10"/>
      <c r="G137" s="10"/>
      <c r="H137" s="10"/>
      <c r="I137" s="10"/>
    </row>
    <row r="138" customFormat="false" ht="15" hidden="false" customHeight="true" outlineLevel="0" collapsed="false">
      <c r="A138" s="3"/>
      <c r="B138" s="3" t="s">
        <v>252</v>
      </c>
      <c r="C138" s="10" t="s">
        <v>369</v>
      </c>
      <c r="D138" s="10"/>
      <c r="E138" s="10"/>
      <c r="F138" s="10"/>
      <c r="G138" s="10"/>
      <c r="H138" s="10"/>
      <c r="I138" s="10"/>
    </row>
    <row r="139" customFormat="false" ht="15" hidden="false" customHeight="true" outlineLevel="0" collapsed="false">
      <c r="A139" s="3"/>
      <c r="B139" s="3" t="s">
        <v>254</v>
      </c>
      <c r="C139" s="10" t="s">
        <v>370</v>
      </c>
      <c r="D139" s="10"/>
      <c r="E139" s="10"/>
      <c r="F139" s="10"/>
      <c r="G139" s="10"/>
      <c r="H139" s="10"/>
      <c r="I139" s="10"/>
    </row>
    <row r="140" customFormat="false" ht="15" hidden="false" customHeight="true" outlineLevel="0" collapsed="false">
      <c r="A140" s="3"/>
      <c r="B140" s="3" t="s">
        <v>256</v>
      </c>
      <c r="C140" s="10" t="s">
        <v>371</v>
      </c>
      <c r="D140" s="10"/>
      <c r="E140" s="10"/>
      <c r="F140" s="10"/>
      <c r="G140" s="10"/>
      <c r="H140" s="10"/>
      <c r="I140" s="10"/>
    </row>
    <row r="141" customFormat="false" ht="15" hidden="false" customHeight="true" outlineLevel="0" collapsed="false">
      <c r="A141" s="3"/>
      <c r="B141" s="3" t="s">
        <v>258</v>
      </c>
      <c r="C141" s="10" t="s">
        <v>372</v>
      </c>
      <c r="D141" s="10"/>
      <c r="E141" s="10"/>
      <c r="F141" s="10"/>
      <c r="G141" s="10"/>
      <c r="H141" s="10"/>
      <c r="I141" s="10"/>
    </row>
    <row r="142" customFormat="false" ht="15" hidden="false" customHeight="true" outlineLevel="0" collapsed="false">
      <c r="A142" s="3"/>
      <c r="B142" s="3" t="s">
        <v>260</v>
      </c>
      <c r="C142" s="10" t="s">
        <v>373</v>
      </c>
      <c r="D142" s="10"/>
      <c r="E142" s="10"/>
      <c r="F142" s="10"/>
      <c r="G142" s="10"/>
      <c r="H142" s="10"/>
      <c r="I142" s="10"/>
    </row>
    <row r="143" customFormat="false" ht="15" hidden="false" customHeight="true" outlineLevel="0" collapsed="false">
      <c r="A143" s="3"/>
      <c r="B143" s="3" t="s">
        <v>262</v>
      </c>
      <c r="C143" s="10" t="s">
        <v>374</v>
      </c>
      <c r="D143" s="10"/>
      <c r="E143" s="10"/>
      <c r="F143" s="10"/>
      <c r="G143" s="10"/>
      <c r="H143" s="10"/>
      <c r="I143" s="10"/>
    </row>
    <row r="144" customFormat="false" ht="15" hidden="false" customHeight="true" outlineLevel="0" collapsed="false">
      <c r="A144" s="3"/>
      <c r="B144" s="3" t="s">
        <v>264</v>
      </c>
      <c r="C144" s="10" t="s">
        <v>375</v>
      </c>
      <c r="D144" s="10"/>
      <c r="E144" s="10"/>
      <c r="F144" s="10"/>
      <c r="G144" s="10"/>
      <c r="H144" s="10"/>
      <c r="I144" s="10"/>
    </row>
    <row r="145" customFormat="false" ht="15" hidden="false" customHeight="true" outlineLevel="0" collapsed="false">
      <c r="A145" s="3"/>
      <c r="B145" s="3" t="s">
        <v>266</v>
      </c>
      <c r="C145" s="10" t="s">
        <v>376</v>
      </c>
      <c r="D145" s="10"/>
      <c r="E145" s="10"/>
      <c r="F145" s="10"/>
      <c r="G145" s="10"/>
      <c r="H145" s="10"/>
      <c r="I145" s="10"/>
    </row>
    <row r="146" customFormat="false" ht="23.25" hidden="false" customHeight="true" outlineLevel="0" collapsed="false">
      <c r="A146" s="3"/>
      <c r="B146" s="3" t="s">
        <v>268</v>
      </c>
      <c r="C146" s="10" t="s">
        <v>377</v>
      </c>
      <c r="D146" s="10"/>
      <c r="E146" s="10"/>
      <c r="F146" s="10" t="s">
        <v>237</v>
      </c>
      <c r="G146" s="10"/>
      <c r="H146" s="10"/>
      <c r="I146" s="10"/>
    </row>
    <row r="147" customFormat="false" ht="23.25" hidden="false" customHeight="true" outlineLevel="0" collapsed="false">
      <c r="A147" s="4" t="s">
        <v>378</v>
      </c>
      <c r="B147" s="12"/>
      <c r="C147" s="12"/>
      <c r="D147" s="12"/>
      <c r="E147" s="12"/>
      <c r="F147" s="12"/>
      <c r="G147" s="12"/>
      <c r="H147" s="12"/>
      <c r="I147" s="12"/>
    </row>
    <row r="148" customFormat="false" ht="15" hidden="false" customHeight="true" outlineLevel="0" collapsed="false">
      <c r="A148" s="3"/>
      <c r="B148" s="3" t="s">
        <v>234</v>
      </c>
      <c r="C148" s="10" t="s">
        <v>313</v>
      </c>
      <c r="D148" s="10"/>
      <c r="E148" s="10"/>
      <c r="F148" s="10" t="s">
        <v>237</v>
      </c>
      <c r="G148" s="10"/>
      <c r="H148" s="10"/>
      <c r="I148" s="10" t="s">
        <v>241</v>
      </c>
    </row>
    <row r="149" customFormat="false" ht="15" hidden="false" customHeight="true" outlineLevel="0" collapsed="false">
      <c r="A149" s="3"/>
      <c r="B149" s="3" t="s">
        <v>242</v>
      </c>
      <c r="C149" s="10" t="s">
        <v>285</v>
      </c>
      <c r="D149" s="10"/>
      <c r="E149" s="10"/>
      <c r="F149" s="10"/>
      <c r="G149" s="10"/>
      <c r="H149" s="10"/>
      <c r="I149" s="10"/>
    </row>
    <row r="150" customFormat="false" ht="15" hidden="false" customHeight="true" outlineLevel="0" collapsed="false">
      <c r="A150" s="3"/>
      <c r="B150" s="3" t="s">
        <v>244</v>
      </c>
      <c r="C150" s="10" t="s">
        <v>240</v>
      </c>
      <c r="D150" s="10"/>
      <c r="E150" s="10"/>
      <c r="F150" s="10"/>
      <c r="G150" s="10"/>
      <c r="H150" s="10"/>
      <c r="I150" s="10"/>
    </row>
    <row r="151" customFormat="false" ht="15" hidden="false" customHeight="true" outlineLevel="0" collapsed="false">
      <c r="A151" s="3"/>
      <c r="B151" s="3" t="s">
        <v>246</v>
      </c>
      <c r="C151" s="10" t="s">
        <v>379</v>
      </c>
      <c r="D151" s="10"/>
      <c r="E151" s="10"/>
      <c r="F151" s="10"/>
      <c r="G151" s="10"/>
      <c r="H151" s="10"/>
      <c r="I151" s="10"/>
    </row>
    <row r="152" customFormat="false" ht="15" hidden="false" customHeight="true" outlineLevel="0" collapsed="false">
      <c r="A152" s="3"/>
      <c r="B152" s="3" t="s">
        <v>248</v>
      </c>
      <c r="C152" s="10" t="s">
        <v>380</v>
      </c>
      <c r="D152" s="10"/>
      <c r="E152" s="10"/>
      <c r="F152" s="10"/>
      <c r="G152" s="10"/>
      <c r="H152" s="10"/>
      <c r="I152" s="10"/>
    </row>
    <row r="153" customFormat="false" ht="15" hidden="false" customHeight="true" outlineLevel="0" collapsed="false">
      <c r="A153" s="3"/>
      <c r="B153" s="3" t="s">
        <v>250</v>
      </c>
      <c r="C153" s="10" t="s">
        <v>381</v>
      </c>
      <c r="D153" s="10"/>
      <c r="E153" s="10"/>
      <c r="F153" s="10"/>
      <c r="G153" s="10"/>
      <c r="H153" s="10"/>
      <c r="I153" s="10"/>
    </row>
    <row r="154" customFormat="false" ht="15" hidden="false" customHeight="true" outlineLevel="0" collapsed="false">
      <c r="A154" s="3"/>
      <c r="B154" s="3" t="s">
        <v>252</v>
      </c>
      <c r="C154" s="10" t="s">
        <v>382</v>
      </c>
      <c r="D154" s="10"/>
      <c r="E154" s="10"/>
      <c r="F154" s="10"/>
      <c r="G154" s="10"/>
      <c r="H154" s="10"/>
      <c r="I154" s="10"/>
    </row>
    <row r="155" customFormat="false" ht="15" hidden="false" customHeight="true" outlineLevel="0" collapsed="false">
      <c r="A155" s="3"/>
      <c r="B155" s="3" t="s">
        <v>254</v>
      </c>
      <c r="C155" s="10" t="s">
        <v>383</v>
      </c>
      <c r="D155" s="10"/>
      <c r="E155" s="10"/>
      <c r="F155" s="10"/>
      <c r="G155" s="10"/>
      <c r="H155" s="10"/>
      <c r="I155" s="10"/>
    </row>
    <row r="156" customFormat="false" ht="15" hidden="false" customHeight="true" outlineLevel="0" collapsed="false">
      <c r="A156" s="3"/>
      <c r="B156" s="3" t="s">
        <v>256</v>
      </c>
      <c r="C156" s="10" t="s">
        <v>384</v>
      </c>
      <c r="D156" s="10"/>
      <c r="E156" s="10"/>
      <c r="F156" s="10"/>
      <c r="G156" s="10"/>
      <c r="H156" s="10"/>
      <c r="I156" s="10"/>
    </row>
    <row r="157" customFormat="false" ht="15" hidden="false" customHeight="true" outlineLevel="0" collapsed="false">
      <c r="A157" s="3"/>
      <c r="B157" s="3" t="s">
        <v>258</v>
      </c>
      <c r="C157" s="10" t="s">
        <v>385</v>
      </c>
      <c r="D157" s="10"/>
      <c r="E157" s="10"/>
      <c r="F157" s="10"/>
      <c r="G157" s="10"/>
      <c r="H157" s="10"/>
      <c r="I157" s="10"/>
    </row>
    <row r="158" customFormat="false" ht="15" hidden="false" customHeight="true" outlineLevel="0" collapsed="false">
      <c r="A158" s="3"/>
      <c r="B158" s="3" t="s">
        <v>260</v>
      </c>
      <c r="C158" s="10" t="s">
        <v>386</v>
      </c>
      <c r="D158" s="10"/>
      <c r="E158" s="10"/>
      <c r="F158" s="10"/>
      <c r="G158" s="10"/>
      <c r="H158" s="10"/>
      <c r="I158" s="10"/>
    </row>
    <row r="159" customFormat="false" ht="15" hidden="false" customHeight="true" outlineLevel="0" collapsed="false">
      <c r="A159" s="3"/>
      <c r="B159" s="3" t="s">
        <v>262</v>
      </c>
      <c r="C159" s="10" t="s">
        <v>387</v>
      </c>
      <c r="D159" s="10"/>
      <c r="E159" s="10"/>
      <c r="F159" s="10"/>
      <c r="G159" s="10"/>
      <c r="H159" s="10"/>
      <c r="I159" s="10"/>
    </row>
    <row r="160" customFormat="false" ht="15" hidden="false" customHeight="true" outlineLevel="0" collapsed="false">
      <c r="A160" s="3"/>
      <c r="B160" s="3" t="s">
        <v>264</v>
      </c>
      <c r="C160" s="10" t="s">
        <v>388</v>
      </c>
      <c r="D160" s="10"/>
      <c r="E160" s="10"/>
      <c r="F160" s="10"/>
      <c r="G160" s="10"/>
      <c r="H160" s="10"/>
      <c r="I160" s="10"/>
    </row>
    <row r="161" customFormat="false" ht="15" hidden="false" customHeight="true" outlineLevel="0" collapsed="false">
      <c r="A161" s="3"/>
      <c r="B161" s="3" t="s">
        <v>266</v>
      </c>
      <c r="C161" s="10" t="s">
        <v>389</v>
      </c>
      <c r="D161" s="10"/>
      <c r="E161" s="10"/>
      <c r="F161" s="10"/>
      <c r="G161" s="10"/>
      <c r="H161" s="10"/>
      <c r="I161" s="10"/>
    </row>
    <row r="162" customFormat="false" ht="23.25" hidden="false" customHeight="true" outlineLevel="0" collapsed="false">
      <c r="A162" s="3"/>
      <c r="B162" s="3" t="s">
        <v>268</v>
      </c>
      <c r="C162" s="10" t="s">
        <v>269</v>
      </c>
      <c r="D162" s="10"/>
      <c r="E162" s="10"/>
      <c r="F162" s="10"/>
      <c r="G162" s="10"/>
      <c r="H162" s="10"/>
      <c r="I162" s="10"/>
    </row>
    <row r="163" customFormat="false" ht="23.25" hidden="false" customHeight="true" outlineLevel="0" collapsed="false">
      <c r="A163" s="4" t="s">
        <v>390</v>
      </c>
      <c r="B163" s="12"/>
      <c r="C163" s="12"/>
      <c r="D163" s="12"/>
      <c r="E163" s="12"/>
      <c r="F163" s="12"/>
      <c r="G163" s="12"/>
      <c r="H163" s="12"/>
      <c r="I163" s="12"/>
    </row>
    <row r="164" customFormat="false" ht="15" hidden="false" customHeight="true" outlineLevel="0" collapsed="false">
      <c r="A164" s="3"/>
      <c r="B164" s="3" t="s">
        <v>234</v>
      </c>
      <c r="C164" s="10" t="s">
        <v>313</v>
      </c>
      <c r="D164" s="10"/>
      <c r="E164" s="10"/>
      <c r="F164" s="10" t="s">
        <v>237</v>
      </c>
      <c r="G164" s="10"/>
      <c r="H164" s="10"/>
      <c r="I164" s="10" t="s">
        <v>241</v>
      </c>
    </row>
    <row r="165" customFormat="false" ht="15" hidden="false" customHeight="true" outlineLevel="0" collapsed="false">
      <c r="A165" s="3"/>
      <c r="B165" s="3" t="s">
        <v>242</v>
      </c>
      <c r="C165" s="10" t="s">
        <v>300</v>
      </c>
      <c r="D165" s="10"/>
      <c r="E165" s="10"/>
      <c r="F165" s="10"/>
      <c r="G165" s="10"/>
      <c r="H165" s="10"/>
      <c r="I165" s="10"/>
    </row>
    <row r="166" customFormat="false" ht="15" hidden="false" customHeight="true" outlineLevel="0" collapsed="false">
      <c r="A166" s="3"/>
      <c r="B166" s="3" t="s">
        <v>244</v>
      </c>
      <c r="C166" s="10" t="s">
        <v>271</v>
      </c>
      <c r="D166" s="10"/>
      <c r="E166" s="10"/>
      <c r="F166" s="10"/>
      <c r="G166" s="10"/>
      <c r="H166" s="10"/>
      <c r="I166" s="10"/>
    </row>
    <row r="167" customFormat="false" ht="15" hidden="false" customHeight="true" outlineLevel="0" collapsed="false">
      <c r="A167" s="3"/>
      <c r="B167" s="3" t="s">
        <v>246</v>
      </c>
      <c r="C167" s="10" t="s">
        <v>391</v>
      </c>
      <c r="D167" s="10"/>
      <c r="E167" s="10"/>
      <c r="F167" s="10"/>
      <c r="G167" s="10"/>
      <c r="H167" s="10"/>
      <c r="I167" s="10"/>
    </row>
    <row r="168" customFormat="false" ht="15" hidden="false" customHeight="true" outlineLevel="0" collapsed="false">
      <c r="A168" s="3"/>
      <c r="B168" s="3" t="s">
        <v>248</v>
      </c>
      <c r="C168" s="10" t="s">
        <v>392</v>
      </c>
      <c r="D168" s="10"/>
      <c r="E168" s="10"/>
      <c r="F168" s="10"/>
      <c r="G168" s="10"/>
      <c r="H168" s="10"/>
      <c r="I168" s="10"/>
    </row>
    <row r="169" customFormat="false" ht="15" hidden="false" customHeight="true" outlineLevel="0" collapsed="false">
      <c r="A169" s="3"/>
      <c r="B169" s="3" t="s">
        <v>250</v>
      </c>
      <c r="C169" s="10" t="s">
        <v>393</v>
      </c>
      <c r="D169" s="10"/>
      <c r="E169" s="10"/>
      <c r="F169" s="10"/>
      <c r="G169" s="10"/>
      <c r="H169" s="10"/>
      <c r="I169" s="10"/>
    </row>
    <row r="170" customFormat="false" ht="15" hidden="false" customHeight="true" outlineLevel="0" collapsed="false">
      <c r="A170" s="3"/>
      <c r="B170" s="3" t="s">
        <v>252</v>
      </c>
      <c r="C170" s="10" t="s">
        <v>394</v>
      </c>
      <c r="D170" s="10"/>
      <c r="E170" s="10"/>
      <c r="F170" s="10"/>
      <c r="G170" s="10"/>
      <c r="H170" s="10"/>
      <c r="I170" s="10"/>
    </row>
    <row r="171" customFormat="false" ht="15" hidden="false" customHeight="true" outlineLevel="0" collapsed="false">
      <c r="A171" s="3"/>
      <c r="B171" s="3" t="s">
        <v>254</v>
      </c>
      <c r="C171" s="10" t="s">
        <v>395</v>
      </c>
      <c r="D171" s="10"/>
      <c r="E171" s="10"/>
      <c r="F171" s="10"/>
      <c r="G171" s="10"/>
      <c r="H171" s="10"/>
      <c r="I171" s="10"/>
    </row>
    <row r="172" customFormat="false" ht="15" hidden="false" customHeight="true" outlineLevel="0" collapsed="false">
      <c r="A172" s="3"/>
      <c r="B172" s="3" t="s">
        <v>256</v>
      </c>
      <c r="C172" s="10" t="s">
        <v>396</v>
      </c>
      <c r="D172" s="10"/>
      <c r="E172" s="10"/>
      <c r="F172" s="10"/>
      <c r="G172" s="10"/>
      <c r="H172" s="10"/>
      <c r="I172" s="10"/>
    </row>
    <row r="173" customFormat="false" ht="15" hidden="false" customHeight="true" outlineLevel="0" collapsed="false">
      <c r="A173" s="3"/>
      <c r="B173" s="3" t="s">
        <v>258</v>
      </c>
      <c r="C173" s="10" t="s">
        <v>397</v>
      </c>
      <c r="D173" s="10"/>
      <c r="E173" s="10"/>
      <c r="F173" s="10"/>
      <c r="G173" s="10"/>
      <c r="H173" s="10"/>
      <c r="I173" s="10"/>
    </row>
    <row r="174" customFormat="false" ht="15" hidden="false" customHeight="true" outlineLevel="0" collapsed="false">
      <c r="A174" s="3"/>
      <c r="B174" s="3" t="s">
        <v>260</v>
      </c>
      <c r="C174" s="10" t="s">
        <v>398</v>
      </c>
      <c r="D174" s="10"/>
      <c r="E174" s="10"/>
      <c r="F174" s="10"/>
      <c r="G174" s="10"/>
      <c r="H174" s="10"/>
      <c r="I174" s="10"/>
    </row>
    <row r="175" customFormat="false" ht="15" hidden="false" customHeight="true" outlineLevel="0" collapsed="false">
      <c r="A175" s="3"/>
      <c r="B175" s="3" t="s">
        <v>262</v>
      </c>
      <c r="C175" s="10" t="s">
        <v>399</v>
      </c>
      <c r="D175" s="10"/>
      <c r="E175" s="10"/>
      <c r="F175" s="10"/>
      <c r="G175" s="10"/>
      <c r="H175" s="10"/>
      <c r="I175" s="10"/>
    </row>
    <row r="176" customFormat="false" ht="15" hidden="false" customHeight="true" outlineLevel="0" collapsed="false">
      <c r="A176" s="3"/>
      <c r="B176" s="3" t="s">
        <v>264</v>
      </c>
      <c r="C176" s="10" t="s">
        <v>400</v>
      </c>
      <c r="D176" s="10"/>
      <c r="E176" s="10"/>
      <c r="F176" s="10"/>
      <c r="G176" s="10"/>
      <c r="H176" s="10"/>
      <c r="I176" s="10"/>
    </row>
    <row r="177" customFormat="false" ht="15" hidden="false" customHeight="true" outlineLevel="0" collapsed="false">
      <c r="A177" s="3"/>
      <c r="B177" s="3" t="s">
        <v>266</v>
      </c>
      <c r="C177" s="10" t="s">
        <v>401</v>
      </c>
      <c r="D177" s="10"/>
      <c r="E177" s="10"/>
      <c r="F177" s="10"/>
      <c r="G177" s="10"/>
      <c r="H177" s="10"/>
      <c r="I177" s="10"/>
    </row>
    <row r="178" customFormat="false" ht="23.25" hidden="false" customHeight="true" outlineLevel="0" collapsed="false">
      <c r="A178" s="3"/>
      <c r="B178" s="3" t="s">
        <v>268</v>
      </c>
      <c r="C178" s="10" t="s">
        <v>337</v>
      </c>
      <c r="D178" s="10"/>
      <c r="E178" s="10"/>
      <c r="F178" s="10"/>
      <c r="G178" s="10"/>
      <c r="H178" s="10"/>
      <c r="I178" s="10"/>
    </row>
    <row r="179" customFormat="false" ht="23.25" hidden="false" customHeight="true" outlineLevel="0" collapsed="false">
      <c r="A179" s="4" t="s">
        <v>402</v>
      </c>
      <c r="B179" s="12"/>
      <c r="C179" s="12"/>
      <c r="D179" s="12"/>
      <c r="E179" s="12"/>
      <c r="F179" s="12"/>
      <c r="G179" s="12"/>
      <c r="H179" s="12"/>
      <c r="I179" s="12"/>
    </row>
    <row r="180" customFormat="false" ht="15" hidden="false" customHeight="true" outlineLevel="0" collapsed="false">
      <c r="A180" s="3"/>
      <c r="B180" s="3" t="s">
        <v>234</v>
      </c>
      <c r="C180" s="10" t="s">
        <v>243</v>
      </c>
      <c r="D180" s="10"/>
      <c r="E180" s="10"/>
      <c r="F180" s="10" t="s">
        <v>237</v>
      </c>
      <c r="G180" s="10"/>
      <c r="H180" s="10"/>
      <c r="I180" s="10" t="s">
        <v>241</v>
      </c>
    </row>
    <row r="181" customFormat="false" ht="15" hidden="false" customHeight="true" outlineLevel="0" collapsed="false">
      <c r="A181" s="3"/>
      <c r="B181" s="3" t="s">
        <v>242</v>
      </c>
      <c r="C181" s="10" t="s">
        <v>363</v>
      </c>
      <c r="D181" s="10"/>
      <c r="E181" s="10"/>
      <c r="F181" s="10"/>
      <c r="G181" s="10"/>
      <c r="H181" s="10"/>
      <c r="I181" s="10"/>
    </row>
    <row r="182" customFormat="false" ht="15" hidden="false" customHeight="true" outlineLevel="0" collapsed="false">
      <c r="A182" s="3"/>
      <c r="B182" s="3" t="s">
        <v>244</v>
      </c>
      <c r="C182" s="10" t="s">
        <v>243</v>
      </c>
      <c r="D182" s="10"/>
      <c r="E182" s="10"/>
      <c r="F182" s="10"/>
      <c r="G182" s="10"/>
      <c r="H182" s="10"/>
      <c r="I182" s="10"/>
    </row>
    <row r="183" customFormat="false" ht="15" hidden="false" customHeight="true" outlineLevel="0" collapsed="false">
      <c r="A183" s="3"/>
      <c r="B183" s="3" t="s">
        <v>246</v>
      </c>
      <c r="C183" s="10" t="s">
        <v>403</v>
      </c>
      <c r="D183" s="10"/>
      <c r="E183" s="10"/>
      <c r="F183" s="10"/>
      <c r="G183" s="10"/>
      <c r="H183" s="10"/>
      <c r="I183" s="10"/>
    </row>
    <row r="184" customFormat="false" ht="15" hidden="false" customHeight="true" outlineLevel="0" collapsed="false">
      <c r="A184" s="3"/>
      <c r="B184" s="3" t="s">
        <v>248</v>
      </c>
      <c r="C184" s="10" t="s">
        <v>404</v>
      </c>
      <c r="D184" s="10"/>
      <c r="E184" s="10"/>
      <c r="F184" s="10"/>
      <c r="G184" s="10"/>
      <c r="H184" s="10"/>
      <c r="I184" s="10"/>
    </row>
    <row r="185" customFormat="false" ht="15" hidden="false" customHeight="true" outlineLevel="0" collapsed="false">
      <c r="A185" s="3"/>
      <c r="B185" s="3" t="s">
        <v>250</v>
      </c>
      <c r="C185" s="10" t="s">
        <v>405</v>
      </c>
      <c r="D185" s="10"/>
      <c r="E185" s="10"/>
      <c r="F185" s="10"/>
      <c r="G185" s="10"/>
      <c r="H185" s="10"/>
      <c r="I185" s="10"/>
    </row>
    <row r="186" customFormat="false" ht="15" hidden="false" customHeight="true" outlineLevel="0" collapsed="false">
      <c r="A186" s="3"/>
      <c r="B186" s="3" t="s">
        <v>252</v>
      </c>
      <c r="C186" s="10" t="s">
        <v>406</v>
      </c>
      <c r="D186" s="10"/>
      <c r="E186" s="10"/>
      <c r="F186" s="10"/>
      <c r="G186" s="10"/>
      <c r="H186" s="10"/>
      <c r="I186" s="10"/>
    </row>
    <row r="187" customFormat="false" ht="15" hidden="false" customHeight="true" outlineLevel="0" collapsed="false">
      <c r="A187" s="3"/>
      <c r="B187" s="3" t="s">
        <v>254</v>
      </c>
      <c r="C187" s="10" t="s">
        <v>407</v>
      </c>
      <c r="D187" s="10"/>
      <c r="E187" s="10"/>
      <c r="F187" s="10"/>
      <c r="G187" s="10"/>
      <c r="H187" s="10"/>
      <c r="I187" s="10"/>
    </row>
    <row r="188" customFormat="false" ht="15" hidden="false" customHeight="true" outlineLevel="0" collapsed="false">
      <c r="A188" s="3"/>
      <c r="B188" s="3" t="s">
        <v>256</v>
      </c>
      <c r="C188" s="10" t="s">
        <v>408</v>
      </c>
      <c r="D188" s="10"/>
      <c r="E188" s="10"/>
      <c r="F188" s="10"/>
      <c r="G188" s="10"/>
      <c r="H188" s="10"/>
      <c r="I188" s="10"/>
    </row>
    <row r="189" customFormat="false" ht="15" hidden="false" customHeight="true" outlineLevel="0" collapsed="false">
      <c r="A189" s="3"/>
      <c r="B189" s="3" t="s">
        <v>258</v>
      </c>
      <c r="C189" s="10" t="s">
        <v>409</v>
      </c>
      <c r="D189" s="10"/>
      <c r="E189" s="10"/>
      <c r="F189" s="10"/>
      <c r="G189" s="10"/>
      <c r="H189" s="10"/>
      <c r="I189" s="10"/>
    </row>
    <row r="190" customFormat="false" ht="15" hidden="false" customHeight="true" outlineLevel="0" collapsed="false">
      <c r="A190" s="3"/>
      <c r="B190" s="3" t="s">
        <v>260</v>
      </c>
      <c r="C190" s="10" t="s">
        <v>410</v>
      </c>
      <c r="D190" s="10"/>
      <c r="E190" s="10"/>
      <c r="F190" s="10"/>
      <c r="G190" s="10"/>
      <c r="H190" s="10"/>
      <c r="I190" s="10"/>
    </row>
    <row r="191" customFormat="false" ht="15" hidden="false" customHeight="true" outlineLevel="0" collapsed="false">
      <c r="A191" s="3"/>
      <c r="B191" s="3" t="s">
        <v>262</v>
      </c>
      <c r="C191" s="10" t="s">
        <v>411</v>
      </c>
      <c r="D191" s="10"/>
      <c r="E191" s="10"/>
      <c r="F191" s="10"/>
      <c r="G191" s="10"/>
      <c r="H191" s="10"/>
      <c r="I191" s="10"/>
    </row>
    <row r="192" customFormat="false" ht="15" hidden="false" customHeight="true" outlineLevel="0" collapsed="false">
      <c r="A192" s="3"/>
      <c r="B192" s="3" t="s">
        <v>264</v>
      </c>
      <c r="C192" s="10" t="s">
        <v>412</v>
      </c>
      <c r="D192" s="10"/>
      <c r="E192" s="10"/>
      <c r="F192" s="10"/>
      <c r="G192" s="10"/>
      <c r="H192" s="10"/>
      <c r="I192" s="10"/>
    </row>
    <row r="193" customFormat="false" ht="15" hidden="false" customHeight="true" outlineLevel="0" collapsed="false">
      <c r="A193" s="3"/>
      <c r="B193" s="3" t="s">
        <v>266</v>
      </c>
      <c r="C193" s="10" t="s">
        <v>413</v>
      </c>
      <c r="D193" s="10"/>
      <c r="E193" s="10"/>
      <c r="F193" s="10"/>
      <c r="G193" s="10"/>
      <c r="H193" s="10"/>
      <c r="I193" s="10"/>
    </row>
    <row r="194" customFormat="false" ht="23.25" hidden="false" customHeight="true" outlineLevel="0" collapsed="false">
      <c r="A194" s="3"/>
      <c r="B194" s="3" t="s">
        <v>268</v>
      </c>
      <c r="C194" s="10" t="s">
        <v>269</v>
      </c>
      <c r="D194" s="10"/>
      <c r="E194" s="10"/>
      <c r="F194" s="10"/>
      <c r="G194" s="10"/>
      <c r="H194" s="10"/>
      <c r="I194" s="10"/>
    </row>
  </sheetData>
  <dataValidations count="2">
    <dataValidation allowBlank="true" errorStyle="stop" operator="between" showDropDown="false" showErrorMessage="false" showInputMessage="false" sqref="F3:F194" type="list">
      <formula1>"Y,N,—"</formula1>
      <formula2>0</formula2>
    </dataValidation>
    <dataValidation allowBlank="true" errorStyle="stop" operator="between" showDropDown="false" showErrorMessage="false" showInputMessage="false" sqref="G3:G194" type="list">
      <formula1>"S1 — Critical,S2 — Major,S3 — Minor,S4 — Trivial"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0"/>
    <col collapsed="false" customWidth="true" hidden="false" outlineLevel="0" max="4" min="3" style="1" width="18"/>
    <col collapsed="false" customWidth="true" hidden="false" outlineLevel="0" max="5" min="5" style="1" width="13"/>
    <col collapsed="false" customWidth="true" hidden="false" outlineLevel="0" max="6" min="6" style="1" width="15"/>
    <col collapsed="false" customWidth="true" hidden="false" outlineLevel="0" max="7" min="7" style="1" width="9"/>
    <col collapsed="false" customWidth="true" hidden="false" outlineLevel="0" max="8" min="8" style="1" width="30"/>
  </cols>
  <sheetData>
    <row r="1" customFormat="false" ht="26.25" hidden="false" customHeight="true" outlineLevel="0" collapsed="false">
      <c r="A1" s="9" t="s">
        <v>41</v>
      </c>
      <c r="B1" s="9" t="s">
        <v>226</v>
      </c>
      <c r="C1" s="9" t="s">
        <v>227</v>
      </c>
      <c r="D1" s="9" t="s">
        <v>414</v>
      </c>
      <c r="E1" s="9" t="s">
        <v>230</v>
      </c>
      <c r="F1" s="9" t="s">
        <v>231</v>
      </c>
      <c r="G1" s="9" t="s">
        <v>232</v>
      </c>
      <c r="H1" s="9" t="s">
        <v>174</v>
      </c>
    </row>
    <row r="2" customFormat="false" ht="15" hidden="false" customHeight="true" outlineLevel="0" collapsed="false">
      <c r="A2" s="6" t="s">
        <v>233</v>
      </c>
      <c r="B2" s="6" t="s">
        <v>415</v>
      </c>
      <c r="C2" s="6" t="s">
        <v>416</v>
      </c>
      <c r="D2" s="6" t="s">
        <v>416</v>
      </c>
      <c r="E2" s="6" t="s">
        <v>237</v>
      </c>
      <c r="F2" s="6"/>
      <c r="G2" s="6"/>
      <c r="H2" s="6" t="s">
        <v>417</v>
      </c>
    </row>
    <row r="3" customFormat="false" ht="15" hidden="false" customHeight="true" outlineLevel="0" collapsed="false">
      <c r="A3" s="4" t="s">
        <v>239</v>
      </c>
      <c r="B3" s="12"/>
      <c r="C3" s="12"/>
      <c r="D3" s="12"/>
      <c r="E3" s="12"/>
      <c r="F3" s="12"/>
      <c r="G3" s="12"/>
      <c r="H3" s="12"/>
    </row>
    <row r="4" customFormat="false" ht="15" hidden="false" customHeight="true" outlineLevel="0" collapsed="false">
      <c r="A4" s="3"/>
      <c r="B4" s="3" t="s">
        <v>415</v>
      </c>
      <c r="C4" s="10" t="n">
        <v>5</v>
      </c>
      <c r="D4" s="10" t="n">
        <v>5</v>
      </c>
      <c r="E4" s="10" t="s">
        <v>237</v>
      </c>
      <c r="F4" s="10"/>
      <c r="G4" s="10"/>
      <c r="H4" s="10"/>
    </row>
    <row r="5" customFormat="false" ht="15" hidden="false" customHeight="true" outlineLevel="0" collapsed="false">
      <c r="A5" s="3"/>
      <c r="B5" s="3" t="s">
        <v>418</v>
      </c>
      <c r="C5" s="10" t="n">
        <v>9</v>
      </c>
      <c r="D5" s="10"/>
      <c r="E5" s="10"/>
      <c r="F5" s="10"/>
      <c r="G5" s="10"/>
      <c r="H5" s="10"/>
    </row>
    <row r="6" customFormat="false" ht="15" hidden="false" customHeight="true" outlineLevel="0" collapsed="false">
      <c r="A6" s="3"/>
      <c r="B6" s="3" t="s">
        <v>419</v>
      </c>
      <c r="C6" s="10" t="n">
        <v>7</v>
      </c>
      <c r="D6" s="10"/>
      <c r="E6" s="10"/>
      <c r="F6" s="10"/>
      <c r="G6" s="10"/>
      <c r="H6" s="10"/>
    </row>
    <row r="7" customFormat="false" ht="15" hidden="false" customHeight="true" outlineLevel="0" collapsed="false">
      <c r="A7" s="3"/>
      <c r="B7" s="3" t="s">
        <v>420</v>
      </c>
      <c r="C7" s="10" t="n">
        <v>11</v>
      </c>
      <c r="D7" s="10"/>
      <c r="E7" s="10"/>
      <c r="F7" s="10"/>
      <c r="G7" s="10"/>
      <c r="H7" s="10"/>
    </row>
    <row r="8" customFormat="false" ht="15" hidden="false" customHeight="true" outlineLevel="0" collapsed="false">
      <c r="A8" s="3"/>
      <c r="B8" s="3" t="s">
        <v>421</v>
      </c>
      <c r="C8" s="10" t="n">
        <v>6</v>
      </c>
      <c r="D8" s="10" t="n">
        <v>6</v>
      </c>
      <c r="E8" s="10" t="s">
        <v>237</v>
      </c>
      <c r="F8" s="10"/>
      <c r="G8" s="10"/>
      <c r="H8" s="10"/>
    </row>
    <row r="9" customFormat="false" ht="15" hidden="false" customHeight="true" outlineLevel="0" collapsed="false">
      <c r="A9" s="3"/>
      <c r="B9" s="3" t="s">
        <v>422</v>
      </c>
      <c r="C9" s="10" t="n">
        <v>5</v>
      </c>
      <c r="D9" s="10"/>
      <c r="E9" s="10"/>
      <c r="F9" s="10"/>
      <c r="G9" s="10"/>
      <c r="H9" s="10"/>
    </row>
    <row r="10" customFormat="false" ht="15" hidden="false" customHeight="true" outlineLevel="0" collapsed="false">
      <c r="A10" s="3"/>
      <c r="B10" s="3" t="s">
        <v>423</v>
      </c>
      <c r="C10" s="10" t="s">
        <v>424</v>
      </c>
      <c r="D10" s="10"/>
      <c r="E10" s="10"/>
      <c r="F10" s="10"/>
      <c r="G10" s="10"/>
      <c r="H10" s="10"/>
    </row>
    <row r="11" customFormat="false" ht="15" hidden="false" customHeight="true" outlineLevel="0" collapsed="false">
      <c r="A11" s="3"/>
      <c r="B11" s="3" t="s">
        <v>425</v>
      </c>
      <c r="C11" s="10" t="s">
        <v>426</v>
      </c>
      <c r="D11" s="10"/>
      <c r="E11" s="10"/>
      <c r="F11" s="10"/>
      <c r="G11" s="10"/>
      <c r="H11" s="10"/>
    </row>
    <row r="12" customFormat="false" ht="15" hidden="false" customHeight="true" outlineLevel="0" collapsed="false">
      <c r="A12" s="3"/>
      <c r="B12" s="3" t="s">
        <v>427</v>
      </c>
      <c r="C12" s="10" t="s">
        <v>50</v>
      </c>
      <c r="D12" s="10"/>
      <c r="E12" s="10"/>
      <c r="F12" s="10"/>
      <c r="G12" s="10"/>
      <c r="H12" s="10"/>
    </row>
    <row r="13" customFormat="false" ht="15" hidden="false" customHeight="true" outlineLevel="0" collapsed="false">
      <c r="A13" s="3"/>
      <c r="B13" s="3" t="s">
        <v>428</v>
      </c>
      <c r="C13" s="10" t="s">
        <v>429</v>
      </c>
      <c r="D13" s="10"/>
      <c r="E13" s="10"/>
      <c r="F13" s="10"/>
      <c r="G13" s="10"/>
      <c r="H13" s="10"/>
    </row>
    <row r="14" customFormat="false" ht="23.25" hidden="false" customHeight="true" outlineLevel="0" collapsed="false">
      <c r="A14" s="4" t="s">
        <v>270</v>
      </c>
      <c r="B14" s="12"/>
      <c r="C14" s="12"/>
      <c r="D14" s="12"/>
      <c r="E14" s="12"/>
      <c r="F14" s="12"/>
      <c r="G14" s="12"/>
      <c r="H14" s="12"/>
    </row>
    <row r="15" customFormat="false" ht="15" hidden="false" customHeight="true" outlineLevel="0" collapsed="false">
      <c r="A15" s="3"/>
      <c r="B15" s="3" t="s">
        <v>415</v>
      </c>
      <c r="C15" s="10" t="n">
        <v>6</v>
      </c>
      <c r="D15" s="10" t="n">
        <v>6</v>
      </c>
      <c r="E15" s="10" t="s">
        <v>237</v>
      </c>
      <c r="F15" s="10"/>
      <c r="G15" s="10"/>
      <c r="H15" s="10"/>
    </row>
    <row r="16" customFormat="false" ht="15" hidden="false" customHeight="true" outlineLevel="0" collapsed="false">
      <c r="A16" s="3"/>
      <c r="B16" s="3" t="s">
        <v>418</v>
      </c>
      <c r="C16" s="10" t="n">
        <v>8</v>
      </c>
      <c r="D16" s="10"/>
      <c r="E16" s="10"/>
      <c r="F16" s="10"/>
      <c r="G16" s="10"/>
      <c r="H16" s="10"/>
    </row>
    <row r="17" customFormat="false" ht="15" hidden="false" customHeight="true" outlineLevel="0" collapsed="false">
      <c r="A17" s="3"/>
      <c r="B17" s="3" t="s">
        <v>419</v>
      </c>
      <c r="C17" s="10" t="n">
        <v>9</v>
      </c>
      <c r="D17" s="10"/>
      <c r="E17" s="10"/>
      <c r="F17" s="10"/>
      <c r="G17" s="10"/>
      <c r="H17" s="10"/>
    </row>
    <row r="18" customFormat="false" ht="15" hidden="false" customHeight="true" outlineLevel="0" collapsed="false">
      <c r="A18" s="3"/>
      <c r="B18" s="3" t="s">
        <v>420</v>
      </c>
      <c r="C18" s="10" t="n">
        <v>8</v>
      </c>
      <c r="D18" s="10"/>
      <c r="E18" s="10"/>
      <c r="F18" s="10"/>
      <c r="G18" s="10"/>
      <c r="H18" s="10"/>
    </row>
    <row r="19" customFormat="false" ht="15" hidden="false" customHeight="true" outlineLevel="0" collapsed="false">
      <c r="A19" s="3"/>
      <c r="B19" s="3" t="s">
        <v>421</v>
      </c>
      <c r="C19" s="10" t="n">
        <v>9</v>
      </c>
      <c r="D19" s="10" t="n">
        <v>9</v>
      </c>
      <c r="E19" s="10" t="s">
        <v>237</v>
      </c>
      <c r="F19" s="10"/>
      <c r="G19" s="10"/>
      <c r="H19" s="10"/>
    </row>
    <row r="20" customFormat="false" ht="15" hidden="false" customHeight="true" outlineLevel="0" collapsed="false">
      <c r="A20" s="3"/>
      <c r="B20" s="3" t="s">
        <v>422</v>
      </c>
      <c r="C20" s="10" t="n">
        <v>5</v>
      </c>
      <c r="D20" s="10"/>
      <c r="E20" s="10"/>
      <c r="F20" s="10"/>
      <c r="G20" s="10"/>
      <c r="H20" s="10"/>
    </row>
    <row r="21" customFormat="false" ht="15" hidden="false" customHeight="true" outlineLevel="0" collapsed="false">
      <c r="A21" s="3"/>
      <c r="B21" s="3" t="s">
        <v>423</v>
      </c>
      <c r="C21" s="10" t="s">
        <v>430</v>
      </c>
      <c r="D21" s="10"/>
      <c r="E21" s="10"/>
      <c r="F21" s="10"/>
      <c r="G21" s="10"/>
      <c r="H21" s="10"/>
    </row>
    <row r="22" customFormat="false" ht="15" hidden="false" customHeight="true" outlineLevel="0" collapsed="false">
      <c r="A22" s="3"/>
      <c r="B22" s="3" t="s">
        <v>425</v>
      </c>
      <c r="C22" s="10" t="s">
        <v>426</v>
      </c>
      <c r="D22" s="10"/>
      <c r="E22" s="10"/>
      <c r="F22" s="10"/>
      <c r="G22" s="10"/>
      <c r="H22" s="10"/>
    </row>
    <row r="23" customFormat="false" ht="15" hidden="false" customHeight="true" outlineLevel="0" collapsed="false">
      <c r="A23" s="3"/>
      <c r="B23" s="3" t="s">
        <v>427</v>
      </c>
      <c r="C23" s="10" t="s">
        <v>57</v>
      </c>
      <c r="D23" s="10"/>
      <c r="E23" s="10"/>
      <c r="F23" s="10"/>
      <c r="G23" s="10"/>
      <c r="H23" s="10"/>
    </row>
    <row r="24" customFormat="false" ht="15" hidden="false" customHeight="true" outlineLevel="0" collapsed="false">
      <c r="A24" s="3"/>
      <c r="B24" s="3" t="s">
        <v>428</v>
      </c>
      <c r="C24" s="10" t="s">
        <v>429</v>
      </c>
      <c r="D24" s="10"/>
      <c r="E24" s="10"/>
      <c r="F24" s="10"/>
      <c r="G24" s="10"/>
      <c r="H24" s="10"/>
    </row>
    <row r="25" customFormat="false" ht="23.25" hidden="false" customHeight="true" outlineLevel="0" collapsed="false">
      <c r="A25" s="4" t="s">
        <v>283</v>
      </c>
      <c r="B25" s="12"/>
      <c r="C25" s="12"/>
      <c r="D25" s="12"/>
      <c r="E25" s="12"/>
      <c r="F25" s="12"/>
      <c r="G25" s="12"/>
      <c r="H25" s="12"/>
    </row>
    <row r="26" customFormat="false" ht="15" hidden="false" customHeight="true" outlineLevel="0" collapsed="false">
      <c r="A26" s="3"/>
      <c r="B26" s="3" t="s">
        <v>415</v>
      </c>
      <c r="C26" s="10" t="n">
        <v>33</v>
      </c>
      <c r="D26" s="10" t="n">
        <v>33</v>
      </c>
      <c r="E26" s="10" t="s">
        <v>237</v>
      </c>
      <c r="F26" s="10"/>
      <c r="G26" s="10"/>
      <c r="H26" s="10"/>
    </row>
    <row r="27" customFormat="false" ht="15" hidden="false" customHeight="true" outlineLevel="0" collapsed="false">
      <c r="A27" s="3"/>
      <c r="B27" s="3" t="s">
        <v>418</v>
      </c>
      <c r="C27" s="10" t="n">
        <v>11</v>
      </c>
      <c r="D27" s="10"/>
      <c r="E27" s="10"/>
      <c r="F27" s="10"/>
      <c r="G27" s="10"/>
      <c r="H27" s="10"/>
    </row>
    <row r="28" customFormat="false" ht="15" hidden="false" customHeight="true" outlineLevel="0" collapsed="false">
      <c r="A28" s="3"/>
      <c r="B28" s="3" t="s">
        <v>419</v>
      </c>
      <c r="C28" s="10" t="n">
        <v>22</v>
      </c>
      <c r="D28" s="10"/>
      <c r="E28" s="10"/>
      <c r="F28" s="10"/>
      <c r="G28" s="10"/>
      <c r="H28" s="10"/>
    </row>
    <row r="29" customFormat="false" ht="15" hidden="false" customHeight="true" outlineLevel="0" collapsed="false">
      <c r="A29" s="3"/>
      <c r="B29" s="3" t="s">
        <v>420</v>
      </c>
      <c r="C29" s="10" t="n">
        <v>7</v>
      </c>
      <c r="D29" s="10"/>
      <c r="E29" s="10"/>
      <c r="F29" s="10"/>
      <c r="G29" s="10"/>
      <c r="H29" s="10"/>
    </row>
    <row r="30" customFormat="false" ht="15" hidden="false" customHeight="true" outlineLevel="0" collapsed="false">
      <c r="A30" s="3"/>
      <c r="B30" s="3" t="s">
        <v>421</v>
      </c>
      <c r="C30" s="10" t="n">
        <v>9</v>
      </c>
      <c r="D30" s="10" t="n">
        <v>9</v>
      </c>
      <c r="E30" s="10" t="s">
        <v>237</v>
      </c>
      <c r="F30" s="10"/>
      <c r="G30" s="10"/>
      <c r="H30" s="10"/>
    </row>
    <row r="31" customFormat="false" ht="15" hidden="false" customHeight="true" outlineLevel="0" collapsed="false">
      <c r="A31" s="3"/>
      <c r="B31" s="3" t="s">
        <v>422</v>
      </c>
      <c r="C31" s="10" t="n">
        <v>8</v>
      </c>
      <c r="D31" s="10"/>
      <c r="E31" s="10"/>
      <c r="F31" s="10"/>
      <c r="G31" s="10"/>
      <c r="H31" s="10"/>
    </row>
    <row r="32" customFormat="false" ht="15" hidden="false" customHeight="true" outlineLevel="0" collapsed="false">
      <c r="A32" s="3"/>
      <c r="B32" s="3" t="s">
        <v>423</v>
      </c>
      <c r="C32" s="10" t="s">
        <v>431</v>
      </c>
      <c r="D32" s="10"/>
      <c r="E32" s="10"/>
      <c r="F32" s="10"/>
      <c r="G32" s="10"/>
      <c r="H32" s="10"/>
    </row>
    <row r="33" customFormat="false" ht="15" hidden="false" customHeight="true" outlineLevel="0" collapsed="false">
      <c r="A33" s="3"/>
      <c r="B33" s="3" t="s">
        <v>425</v>
      </c>
      <c r="C33" s="10" t="s">
        <v>430</v>
      </c>
      <c r="D33" s="10"/>
      <c r="E33" s="10"/>
      <c r="F33" s="10"/>
      <c r="G33" s="10"/>
      <c r="H33" s="10"/>
    </row>
    <row r="34" customFormat="false" ht="15" hidden="false" customHeight="true" outlineLevel="0" collapsed="false">
      <c r="A34" s="3"/>
      <c r="B34" s="3" t="s">
        <v>427</v>
      </c>
      <c r="C34" s="10" t="s">
        <v>64</v>
      </c>
      <c r="D34" s="10"/>
      <c r="E34" s="10"/>
      <c r="F34" s="10"/>
      <c r="G34" s="10"/>
      <c r="H34" s="10"/>
    </row>
    <row r="35" customFormat="false" ht="15" hidden="false" customHeight="true" outlineLevel="0" collapsed="false">
      <c r="A35" s="3"/>
      <c r="B35" s="3" t="s">
        <v>428</v>
      </c>
      <c r="C35" s="10" t="s">
        <v>429</v>
      </c>
      <c r="D35" s="10"/>
      <c r="E35" s="10"/>
      <c r="F35" s="10"/>
      <c r="G35" s="10"/>
      <c r="H35" s="10"/>
    </row>
    <row r="36" customFormat="false" ht="23.25" hidden="false" customHeight="true" outlineLevel="0" collapsed="false">
      <c r="A36" s="4" t="s">
        <v>297</v>
      </c>
      <c r="B36" s="12"/>
      <c r="C36" s="12"/>
      <c r="D36" s="12"/>
      <c r="E36" s="12"/>
      <c r="F36" s="12"/>
      <c r="G36" s="12"/>
      <c r="H36" s="12"/>
    </row>
    <row r="37" customFormat="false" ht="15" hidden="false" customHeight="true" outlineLevel="0" collapsed="false">
      <c r="A37" s="3"/>
      <c r="B37" s="3" t="s">
        <v>415</v>
      </c>
      <c r="C37" s="10" t="n">
        <v>6</v>
      </c>
      <c r="D37" s="10" t="n">
        <v>6</v>
      </c>
      <c r="E37" s="10" t="s">
        <v>237</v>
      </c>
      <c r="F37" s="10"/>
      <c r="G37" s="10"/>
      <c r="H37" s="10"/>
    </row>
    <row r="38" customFormat="false" ht="15" hidden="false" customHeight="true" outlineLevel="0" collapsed="false">
      <c r="A38" s="3"/>
      <c r="B38" s="3" t="s">
        <v>418</v>
      </c>
      <c r="C38" s="10" t="n">
        <v>1</v>
      </c>
      <c r="D38" s="10"/>
      <c r="E38" s="10" t="s">
        <v>432</v>
      </c>
      <c r="F38" s="10"/>
      <c r="G38" s="10"/>
      <c r="H38" s="10" t="s">
        <v>433</v>
      </c>
    </row>
    <row r="39" customFormat="false" ht="15" hidden="false" customHeight="true" outlineLevel="0" collapsed="false">
      <c r="A39" s="3"/>
      <c r="B39" s="3" t="s">
        <v>419</v>
      </c>
      <c r="C39" s="10" t="n">
        <v>6</v>
      </c>
      <c r="D39" s="10"/>
      <c r="E39" s="10" t="s">
        <v>432</v>
      </c>
      <c r="F39" s="10"/>
      <c r="G39" s="10"/>
      <c r="H39" s="10" t="s">
        <v>433</v>
      </c>
    </row>
    <row r="40" customFormat="false" ht="15" hidden="false" customHeight="true" outlineLevel="0" collapsed="false">
      <c r="A40" s="3"/>
      <c r="B40" s="3" t="s">
        <v>420</v>
      </c>
      <c r="C40" s="10" t="n">
        <v>4</v>
      </c>
      <c r="D40" s="10"/>
      <c r="E40" s="10" t="s">
        <v>432</v>
      </c>
      <c r="F40" s="10"/>
      <c r="G40" s="10"/>
      <c r="H40" s="10" t="s">
        <v>433</v>
      </c>
    </row>
    <row r="41" customFormat="false" ht="15" hidden="false" customHeight="true" outlineLevel="0" collapsed="false">
      <c r="A41" s="3"/>
      <c r="B41" s="3" t="s">
        <v>421</v>
      </c>
      <c r="C41" s="10" t="n">
        <v>3</v>
      </c>
      <c r="D41" s="10" t="n">
        <v>3</v>
      </c>
      <c r="E41" s="10" t="s">
        <v>237</v>
      </c>
      <c r="F41" s="10"/>
      <c r="G41" s="10"/>
      <c r="H41" s="10"/>
    </row>
    <row r="42" customFormat="false" ht="15" hidden="false" customHeight="true" outlineLevel="0" collapsed="false">
      <c r="A42" s="3"/>
      <c r="B42" s="3" t="s">
        <v>422</v>
      </c>
      <c r="C42" s="10" t="n">
        <v>7</v>
      </c>
      <c r="D42" s="10"/>
      <c r="E42" s="10"/>
      <c r="F42" s="10"/>
      <c r="G42" s="10"/>
      <c r="H42" s="10"/>
    </row>
    <row r="43" customFormat="false" ht="15" hidden="false" customHeight="true" outlineLevel="0" collapsed="false">
      <c r="A43" s="3"/>
      <c r="B43" s="3" t="s">
        <v>423</v>
      </c>
      <c r="C43" s="10" t="s">
        <v>430</v>
      </c>
      <c r="D43" s="10"/>
      <c r="E43" s="10"/>
      <c r="F43" s="10"/>
      <c r="G43" s="10"/>
      <c r="H43" s="10"/>
    </row>
    <row r="44" customFormat="false" ht="15" hidden="false" customHeight="true" outlineLevel="0" collapsed="false">
      <c r="A44" s="3"/>
      <c r="B44" s="3" t="s">
        <v>425</v>
      </c>
      <c r="C44" s="10" t="s">
        <v>434</v>
      </c>
      <c r="D44" s="10"/>
      <c r="E44" s="10"/>
      <c r="F44" s="10"/>
      <c r="G44" s="10"/>
      <c r="H44" s="10"/>
    </row>
    <row r="45" customFormat="false" ht="15" hidden="false" customHeight="true" outlineLevel="0" collapsed="false">
      <c r="A45" s="3"/>
      <c r="B45" s="3" t="s">
        <v>427</v>
      </c>
      <c r="C45" s="10" t="s">
        <v>71</v>
      </c>
      <c r="D45" s="10"/>
      <c r="E45" s="10"/>
      <c r="F45" s="10"/>
      <c r="G45" s="10"/>
      <c r="H45" s="10"/>
    </row>
    <row r="46" customFormat="false" ht="15" hidden="false" customHeight="true" outlineLevel="0" collapsed="false">
      <c r="A46" s="3"/>
      <c r="B46" s="3" t="s">
        <v>428</v>
      </c>
      <c r="C46" s="10" t="s">
        <v>429</v>
      </c>
      <c r="D46" s="10"/>
      <c r="E46" s="10"/>
      <c r="F46" s="10"/>
      <c r="G46" s="10"/>
      <c r="H46" s="10"/>
    </row>
    <row r="47" customFormat="false" ht="23.25" hidden="false" customHeight="true" outlineLevel="0" collapsed="false">
      <c r="A47" s="4" t="s">
        <v>312</v>
      </c>
      <c r="B47" s="12"/>
      <c r="C47" s="12"/>
      <c r="D47" s="12"/>
      <c r="E47" s="12"/>
      <c r="F47" s="12"/>
      <c r="G47" s="12"/>
      <c r="H47" s="12"/>
    </row>
    <row r="48" customFormat="false" ht="15" hidden="false" customHeight="true" outlineLevel="0" collapsed="false">
      <c r="A48" s="3"/>
      <c r="B48" s="3" t="s">
        <v>415</v>
      </c>
      <c r="C48" s="10" t="n">
        <v>6</v>
      </c>
      <c r="D48" s="10" t="n">
        <v>6</v>
      </c>
      <c r="E48" s="10" t="s">
        <v>237</v>
      </c>
      <c r="F48" s="10"/>
      <c r="G48" s="10"/>
      <c r="H48" s="10"/>
    </row>
    <row r="49" customFormat="false" ht="15" hidden="false" customHeight="true" outlineLevel="0" collapsed="false">
      <c r="A49" s="3"/>
      <c r="B49" s="3" t="s">
        <v>418</v>
      </c>
      <c r="C49" s="10" t="n">
        <v>5</v>
      </c>
      <c r="D49" s="10"/>
      <c r="E49" s="10"/>
      <c r="F49" s="10"/>
      <c r="G49" s="10"/>
      <c r="H49" s="10"/>
    </row>
    <row r="50" customFormat="false" ht="15" hidden="false" customHeight="true" outlineLevel="0" collapsed="false">
      <c r="A50" s="3"/>
      <c r="B50" s="3" t="s">
        <v>419</v>
      </c>
      <c r="C50" s="10" t="n">
        <v>3</v>
      </c>
      <c r="D50" s="10"/>
      <c r="E50" s="10"/>
      <c r="F50" s="10"/>
      <c r="G50" s="10"/>
      <c r="H50" s="10"/>
    </row>
    <row r="51" customFormat="false" ht="15" hidden="false" customHeight="true" outlineLevel="0" collapsed="false">
      <c r="A51" s="3"/>
      <c r="B51" s="3" t="s">
        <v>420</v>
      </c>
      <c r="C51" s="10" t="n">
        <v>2</v>
      </c>
      <c r="D51" s="10"/>
      <c r="E51" s="10"/>
      <c r="F51" s="10"/>
      <c r="G51" s="10"/>
      <c r="H51" s="10"/>
    </row>
    <row r="52" customFormat="false" ht="15" hidden="false" customHeight="true" outlineLevel="0" collapsed="false">
      <c r="A52" s="3"/>
      <c r="B52" s="3" t="s">
        <v>421</v>
      </c>
      <c r="C52" s="10" t="n">
        <v>4</v>
      </c>
      <c r="D52" s="10" t="n">
        <v>4</v>
      </c>
      <c r="E52" s="10" t="s">
        <v>237</v>
      </c>
      <c r="F52" s="10"/>
      <c r="G52" s="10"/>
      <c r="H52" s="10"/>
    </row>
    <row r="53" customFormat="false" ht="15" hidden="false" customHeight="true" outlineLevel="0" collapsed="false">
      <c r="A53" s="3"/>
      <c r="B53" s="3" t="s">
        <v>422</v>
      </c>
      <c r="C53" s="10" t="n">
        <v>11</v>
      </c>
      <c r="D53" s="10"/>
      <c r="E53" s="10"/>
      <c r="F53" s="10"/>
      <c r="G53" s="10"/>
      <c r="H53" s="10"/>
    </row>
    <row r="54" customFormat="false" ht="15" hidden="false" customHeight="true" outlineLevel="0" collapsed="false">
      <c r="A54" s="3"/>
      <c r="B54" s="3" t="s">
        <v>423</v>
      </c>
      <c r="C54" s="10" t="s">
        <v>424</v>
      </c>
      <c r="D54" s="10"/>
      <c r="E54" s="10"/>
      <c r="F54" s="10"/>
      <c r="G54" s="10"/>
      <c r="H54" s="10"/>
    </row>
    <row r="55" customFormat="false" ht="15" hidden="false" customHeight="true" outlineLevel="0" collapsed="false">
      <c r="A55" s="3"/>
      <c r="B55" s="3" t="s">
        <v>425</v>
      </c>
      <c r="C55" s="10" t="s">
        <v>430</v>
      </c>
      <c r="D55" s="10"/>
      <c r="E55" s="10"/>
      <c r="F55" s="10"/>
      <c r="G55" s="10"/>
      <c r="H55" s="10"/>
    </row>
    <row r="56" customFormat="false" ht="15" hidden="false" customHeight="true" outlineLevel="0" collapsed="false">
      <c r="A56" s="3"/>
      <c r="B56" s="3" t="s">
        <v>427</v>
      </c>
      <c r="C56" s="10" t="s">
        <v>78</v>
      </c>
      <c r="D56" s="10"/>
      <c r="E56" s="10"/>
      <c r="F56" s="10"/>
      <c r="G56" s="10"/>
      <c r="H56" s="10"/>
    </row>
    <row r="57" customFormat="false" ht="15" hidden="false" customHeight="true" outlineLevel="0" collapsed="false">
      <c r="A57" s="3"/>
      <c r="B57" s="3" t="s">
        <v>428</v>
      </c>
      <c r="C57" s="10" t="s">
        <v>429</v>
      </c>
      <c r="D57" s="10"/>
      <c r="E57" s="10"/>
      <c r="F57" s="10"/>
      <c r="G57" s="10"/>
      <c r="H57" s="10"/>
    </row>
    <row r="58" customFormat="false" ht="23.25" hidden="false" customHeight="true" outlineLevel="0" collapsed="false">
      <c r="A58" s="4" t="s">
        <v>325</v>
      </c>
      <c r="B58" s="12"/>
      <c r="C58" s="12"/>
      <c r="D58" s="12"/>
      <c r="E58" s="12"/>
      <c r="F58" s="12"/>
      <c r="G58" s="12"/>
      <c r="H58" s="12"/>
    </row>
    <row r="59" customFormat="false" ht="15" hidden="false" customHeight="true" outlineLevel="0" collapsed="false">
      <c r="A59" s="3"/>
      <c r="B59" s="3" t="s">
        <v>415</v>
      </c>
      <c r="C59" s="10" t="n">
        <v>6</v>
      </c>
      <c r="D59" s="10" t="n">
        <v>6</v>
      </c>
      <c r="E59" s="10" t="s">
        <v>237</v>
      </c>
      <c r="F59" s="10"/>
      <c r="G59" s="10"/>
      <c r="H59" s="10"/>
    </row>
    <row r="60" customFormat="false" ht="15" hidden="false" customHeight="true" outlineLevel="0" collapsed="false">
      <c r="A60" s="3"/>
      <c r="B60" s="3" t="s">
        <v>418</v>
      </c>
      <c r="C60" s="10" t="n">
        <v>4</v>
      </c>
      <c r="D60" s="10"/>
      <c r="E60" s="10"/>
      <c r="F60" s="10"/>
      <c r="G60" s="10"/>
      <c r="H60" s="10"/>
    </row>
    <row r="61" customFormat="false" ht="15" hidden="false" customHeight="true" outlineLevel="0" collapsed="false">
      <c r="A61" s="3"/>
      <c r="B61" s="3" t="s">
        <v>419</v>
      </c>
      <c r="C61" s="10" t="n">
        <v>7</v>
      </c>
      <c r="D61" s="10"/>
      <c r="E61" s="10"/>
      <c r="F61" s="10"/>
      <c r="G61" s="10"/>
      <c r="H61" s="10"/>
    </row>
    <row r="62" customFormat="false" ht="15" hidden="false" customHeight="true" outlineLevel="0" collapsed="false">
      <c r="A62" s="3"/>
      <c r="B62" s="3" t="s">
        <v>420</v>
      </c>
      <c r="C62" s="10" t="n">
        <v>6</v>
      </c>
      <c r="D62" s="10"/>
      <c r="E62" s="10"/>
      <c r="F62" s="10"/>
      <c r="G62" s="10"/>
      <c r="H62" s="10"/>
    </row>
    <row r="63" customFormat="false" ht="15" hidden="false" customHeight="true" outlineLevel="0" collapsed="false">
      <c r="A63" s="3"/>
      <c r="B63" s="3" t="s">
        <v>421</v>
      </c>
      <c r="C63" s="10" t="n">
        <v>11</v>
      </c>
      <c r="D63" s="10" t="n">
        <v>11</v>
      </c>
      <c r="E63" s="10" t="s">
        <v>237</v>
      </c>
      <c r="F63" s="10"/>
      <c r="G63" s="10"/>
      <c r="H63" s="10"/>
    </row>
    <row r="64" customFormat="false" ht="15" hidden="false" customHeight="true" outlineLevel="0" collapsed="false">
      <c r="A64" s="3"/>
      <c r="B64" s="3" t="s">
        <v>422</v>
      </c>
      <c r="C64" s="10" t="n">
        <v>1</v>
      </c>
      <c r="D64" s="10"/>
      <c r="E64" s="10"/>
      <c r="F64" s="10"/>
      <c r="G64" s="10"/>
      <c r="H64" s="10"/>
    </row>
    <row r="65" customFormat="false" ht="15" hidden="false" customHeight="true" outlineLevel="0" collapsed="false">
      <c r="A65" s="3"/>
      <c r="B65" s="3" t="s">
        <v>423</v>
      </c>
      <c r="C65" s="10" t="s">
        <v>424</v>
      </c>
      <c r="D65" s="10"/>
      <c r="E65" s="10"/>
      <c r="F65" s="10"/>
      <c r="G65" s="10"/>
      <c r="H65" s="10"/>
    </row>
    <row r="66" customFormat="false" ht="15" hidden="false" customHeight="true" outlineLevel="0" collapsed="false">
      <c r="A66" s="3"/>
      <c r="B66" s="3" t="s">
        <v>425</v>
      </c>
      <c r="C66" s="10" t="s">
        <v>435</v>
      </c>
      <c r="D66" s="10"/>
      <c r="E66" s="10"/>
      <c r="F66" s="10"/>
      <c r="G66" s="10"/>
      <c r="H66" s="10"/>
    </row>
    <row r="67" customFormat="false" ht="15" hidden="false" customHeight="true" outlineLevel="0" collapsed="false">
      <c r="A67" s="3"/>
      <c r="B67" s="3" t="s">
        <v>427</v>
      </c>
      <c r="C67" s="10" t="s">
        <v>84</v>
      </c>
      <c r="D67" s="10"/>
      <c r="E67" s="10"/>
      <c r="F67" s="10"/>
      <c r="G67" s="10"/>
      <c r="H67" s="10"/>
    </row>
    <row r="68" customFormat="false" ht="15" hidden="false" customHeight="true" outlineLevel="0" collapsed="false">
      <c r="A68" s="3"/>
      <c r="B68" s="3" t="s">
        <v>428</v>
      </c>
      <c r="C68" s="10" t="s">
        <v>429</v>
      </c>
      <c r="D68" s="10"/>
      <c r="E68" s="10"/>
      <c r="F68" s="10"/>
      <c r="G68" s="10"/>
      <c r="H68" s="10"/>
    </row>
    <row r="69" customFormat="false" ht="23.25" hidden="false" customHeight="true" outlineLevel="0" collapsed="false">
      <c r="A69" s="4" t="s">
        <v>338</v>
      </c>
      <c r="B69" s="12"/>
      <c r="C69" s="12"/>
      <c r="D69" s="12"/>
      <c r="E69" s="12"/>
      <c r="F69" s="12"/>
      <c r="G69" s="12"/>
      <c r="H69" s="12"/>
    </row>
    <row r="70" customFormat="false" ht="15" hidden="false" customHeight="true" outlineLevel="0" collapsed="false">
      <c r="A70" s="3"/>
      <c r="B70" s="3" t="s">
        <v>415</v>
      </c>
      <c r="C70" s="10" t="n">
        <v>6</v>
      </c>
      <c r="D70" s="10" t="n">
        <v>6</v>
      </c>
      <c r="E70" s="10" t="s">
        <v>237</v>
      </c>
      <c r="F70" s="10"/>
      <c r="G70" s="10"/>
      <c r="H70" s="10"/>
    </row>
    <row r="71" customFormat="false" ht="15" hidden="false" customHeight="true" outlineLevel="0" collapsed="false">
      <c r="A71" s="3"/>
      <c r="B71" s="3" t="s">
        <v>418</v>
      </c>
      <c r="C71" s="10" t="n">
        <v>2</v>
      </c>
      <c r="D71" s="10"/>
      <c r="E71" s="10"/>
      <c r="F71" s="10"/>
      <c r="G71" s="10"/>
      <c r="H71" s="10"/>
    </row>
    <row r="72" customFormat="false" ht="15" hidden="false" customHeight="true" outlineLevel="0" collapsed="false">
      <c r="A72" s="3"/>
      <c r="B72" s="3" t="s">
        <v>419</v>
      </c>
      <c r="C72" s="10" t="n">
        <v>5</v>
      </c>
      <c r="D72" s="10"/>
      <c r="E72" s="10"/>
      <c r="F72" s="10"/>
      <c r="G72" s="10"/>
      <c r="H72" s="10"/>
    </row>
    <row r="73" customFormat="false" ht="15" hidden="false" customHeight="true" outlineLevel="0" collapsed="false">
      <c r="A73" s="3"/>
      <c r="B73" s="3" t="s">
        <v>420</v>
      </c>
      <c r="C73" s="10" t="n">
        <v>6</v>
      </c>
      <c r="D73" s="10"/>
      <c r="E73" s="10"/>
      <c r="F73" s="10"/>
      <c r="G73" s="10"/>
      <c r="H73" s="10"/>
    </row>
    <row r="74" customFormat="false" ht="15" hidden="false" customHeight="true" outlineLevel="0" collapsed="false">
      <c r="A74" s="3"/>
      <c r="B74" s="3" t="s">
        <v>421</v>
      </c>
      <c r="C74" s="10" t="n">
        <v>5</v>
      </c>
      <c r="D74" s="10" t="n">
        <v>5</v>
      </c>
      <c r="E74" s="10" t="s">
        <v>237</v>
      </c>
      <c r="F74" s="10"/>
      <c r="G74" s="10"/>
      <c r="H74" s="10"/>
    </row>
    <row r="75" customFormat="false" ht="15" hidden="false" customHeight="true" outlineLevel="0" collapsed="false">
      <c r="A75" s="3"/>
      <c r="B75" s="3" t="s">
        <v>422</v>
      </c>
      <c r="C75" s="10" t="n">
        <v>8</v>
      </c>
      <c r="D75" s="10"/>
      <c r="E75" s="10"/>
      <c r="F75" s="10"/>
      <c r="G75" s="10"/>
      <c r="H75" s="10"/>
    </row>
    <row r="76" customFormat="false" ht="15" hidden="false" customHeight="true" outlineLevel="0" collapsed="false">
      <c r="A76" s="3"/>
      <c r="B76" s="3" t="s">
        <v>423</v>
      </c>
      <c r="C76" s="10" t="s">
        <v>430</v>
      </c>
      <c r="D76" s="10"/>
      <c r="E76" s="10"/>
      <c r="F76" s="10"/>
      <c r="G76" s="10"/>
      <c r="H76" s="10"/>
    </row>
    <row r="77" customFormat="false" ht="15" hidden="false" customHeight="true" outlineLevel="0" collapsed="false">
      <c r="A77" s="3"/>
      <c r="B77" s="3" t="s">
        <v>425</v>
      </c>
      <c r="C77" s="10" t="s">
        <v>426</v>
      </c>
      <c r="D77" s="10"/>
      <c r="E77" s="10"/>
      <c r="F77" s="10"/>
      <c r="G77" s="10"/>
      <c r="H77" s="10"/>
    </row>
    <row r="78" customFormat="false" ht="15" hidden="false" customHeight="true" outlineLevel="0" collapsed="false">
      <c r="A78" s="3"/>
      <c r="B78" s="3" t="s">
        <v>427</v>
      </c>
      <c r="C78" s="10" t="s">
        <v>91</v>
      </c>
      <c r="D78" s="10"/>
      <c r="E78" s="10"/>
      <c r="F78" s="10"/>
      <c r="G78" s="10"/>
      <c r="H78" s="10"/>
    </row>
    <row r="79" customFormat="false" ht="15" hidden="false" customHeight="true" outlineLevel="0" collapsed="false">
      <c r="A79" s="3"/>
      <c r="B79" s="3" t="s">
        <v>428</v>
      </c>
      <c r="C79" s="10" t="s">
        <v>429</v>
      </c>
      <c r="D79" s="10"/>
      <c r="E79" s="10"/>
      <c r="F79" s="10"/>
      <c r="G79" s="10"/>
      <c r="H79" s="10"/>
    </row>
    <row r="80" customFormat="false" ht="15" hidden="false" customHeight="true" outlineLevel="0" collapsed="false">
      <c r="A80" s="4" t="s">
        <v>350</v>
      </c>
      <c r="B80" s="12"/>
      <c r="C80" s="12"/>
      <c r="D80" s="12"/>
      <c r="E80" s="12"/>
      <c r="F80" s="12"/>
      <c r="G80" s="12"/>
      <c r="H80" s="12"/>
    </row>
    <row r="81" customFormat="false" ht="15" hidden="false" customHeight="true" outlineLevel="0" collapsed="false">
      <c r="A81" s="3"/>
      <c r="B81" s="3" t="s">
        <v>415</v>
      </c>
      <c r="C81" s="10" t="n">
        <v>2</v>
      </c>
      <c r="D81" s="10" t="n">
        <v>2</v>
      </c>
      <c r="E81" s="10" t="s">
        <v>237</v>
      </c>
      <c r="F81" s="10"/>
      <c r="G81" s="10"/>
      <c r="H81" s="10"/>
    </row>
    <row r="82" customFormat="false" ht="15" hidden="false" customHeight="true" outlineLevel="0" collapsed="false">
      <c r="A82" s="3"/>
      <c r="B82" s="3" t="s">
        <v>418</v>
      </c>
      <c r="C82" s="10" t="n">
        <v>3</v>
      </c>
      <c r="D82" s="10"/>
      <c r="E82" s="10"/>
      <c r="F82" s="10"/>
      <c r="G82" s="10"/>
      <c r="H82" s="10"/>
    </row>
    <row r="83" customFormat="false" ht="15" hidden="false" customHeight="true" outlineLevel="0" collapsed="false">
      <c r="A83" s="3"/>
      <c r="B83" s="3" t="s">
        <v>419</v>
      </c>
      <c r="C83" s="10" t="n">
        <v>2</v>
      </c>
      <c r="D83" s="10"/>
      <c r="E83" s="10"/>
      <c r="F83" s="10"/>
      <c r="G83" s="10"/>
      <c r="H83" s="10"/>
    </row>
    <row r="84" customFormat="false" ht="15" hidden="false" customHeight="true" outlineLevel="0" collapsed="false">
      <c r="A84" s="3"/>
      <c r="B84" s="3" t="s">
        <v>420</v>
      </c>
      <c r="C84" s="10" t="n">
        <v>1</v>
      </c>
      <c r="D84" s="10"/>
      <c r="E84" s="10"/>
      <c r="F84" s="10"/>
      <c r="G84" s="10"/>
      <c r="H84" s="10"/>
    </row>
    <row r="85" customFormat="false" ht="15" hidden="false" customHeight="true" outlineLevel="0" collapsed="false">
      <c r="A85" s="3"/>
      <c r="B85" s="3" t="s">
        <v>421</v>
      </c>
      <c r="C85" s="10" t="n">
        <v>5</v>
      </c>
      <c r="D85" s="10" t="n">
        <v>5</v>
      </c>
      <c r="E85" s="10" t="s">
        <v>237</v>
      </c>
      <c r="F85" s="10"/>
      <c r="G85" s="10"/>
      <c r="H85" s="10"/>
    </row>
    <row r="86" customFormat="false" ht="15" hidden="false" customHeight="true" outlineLevel="0" collapsed="false">
      <c r="A86" s="3"/>
      <c r="B86" s="3" t="s">
        <v>422</v>
      </c>
      <c r="C86" s="10" t="n">
        <v>5</v>
      </c>
      <c r="D86" s="10"/>
      <c r="E86" s="10"/>
      <c r="F86" s="10"/>
      <c r="G86" s="10"/>
      <c r="H86" s="10"/>
    </row>
    <row r="87" customFormat="false" ht="15" hidden="false" customHeight="true" outlineLevel="0" collapsed="false">
      <c r="A87" s="3"/>
      <c r="B87" s="3" t="s">
        <v>423</v>
      </c>
      <c r="C87" s="10" t="s">
        <v>430</v>
      </c>
      <c r="D87" s="10"/>
      <c r="E87" s="10"/>
      <c r="F87" s="10"/>
      <c r="G87" s="10"/>
      <c r="H87" s="10"/>
    </row>
    <row r="88" customFormat="false" ht="15" hidden="false" customHeight="true" outlineLevel="0" collapsed="false">
      <c r="A88" s="3"/>
      <c r="B88" s="3" t="s">
        <v>425</v>
      </c>
      <c r="C88" s="10" t="s">
        <v>430</v>
      </c>
      <c r="D88" s="10"/>
      <c r="E88" s="10"/>
      <c r="F88" s="10"/>
      <c r="G88" s="10"/>
      <c r="H88" s="10"/>
    </row>
    <row r="89" customFormat="false" ht="15" hidden="false" customHeight="true" outlineLevel="0" collapsed="false">
      <c r="A89" s="3"/>
      <c r="B89" s="3" t="s">
        <v>427</v>
      </c>
      <c r="C89" s="10" t="s">
        <v>98</v>
      </c>
      <c r="D89" s="10"/>
      <c r="E89" s="10"/>
      <c r="F89" s="10"/>
      <c r="G89" s="10"/>
      <c r="H89" s="10"/>
    </row>
    <row r="90" customFormat="false" ht="15" hidden="false" customHeight="true" outlineLevel="0" collapsed="false">
      <c r="A90" s="3"/>
      <c r="B90" s="3" t="s">
        <v>428</v>
      </c>
      <c r="C90" s="10" t="s">
        <v>429</v>
      </c>
      <c r="D90" s="10"/>
      <c r="E90" s="10"/>
      <c r="F90" s="10"/>
      <c r="G90" s="10"/>
      <c r="H90" s="10"/>
    </row>
    <row r="91" customFormat="false" ht="23.25" hidden="false" customHeight="true" outlineLevel="0" collapsed="false">
      <c r="A91" s="4" t="s">
        <v>362</v>
      </c>
      <c r="B91" s="12"/>
      <c r="C91" s="12"/>
      <c r="D91" s="12"/>
      <c r="E91" s="12"/>
      <c r="F91" s="12"/>
      <c r="G91" s="12"/>
      <c r="H91" s="12"/>
    </row>
    <row r="92" customFormat="false" ht="15" hidden="false" customHeight="true" outlineLevel="0" collapsed="false">
      <c r="A92" s="3"/>
      <c r="B92" s="3" t="s">
        <v>415</v>
      </c>
      <c r="C92" s="10" t="n">
        <v>11</v>
      </c>
      <c r="D92" s="10" t="n">
        <v>11</v>
      </c>
      <c r="E92" s="10" t="s">
        <v>237</v>
      </c>
      <c r="F92" s="10"/>
      <c r="G92" s="10"/>
      <c r="H92" s="10"/>
    </row>
    <row r="93" customFormat="false" ht="15" hidden="false" customHeight="true" outlineLevel="0" collapsed="false">
      <c r="A93" s="3"/>
      <c r="B93" s="3" t="s">
        <v>418</v>
      </c>
      <c r="C93" s="10" t="n">
        <v>7</v>
      </c>
      <c r="D93" s="10"/>
      <c r="E93" s="10"/>
      <c r="F93" s="10"/>
      <c r="G93" s="10"/>
      <c r="H93" s="10"/>
    </row>
    <row r="94" customFormat="false" ht="15" hidden="false" customHeight="true" outlineLevel="0" collapsed="false">
      <c r="A94" s="3"/>
      <c r="B94" s="3" t="s">
        <v>419</v>
      </c>
      <c r="C94" s="10" t="n">
        <v>6</v>
      </c>
      <c r="D94" s="10"/>
      <c r="E94" s="10"/>
      <c r="F94" s="10"/>
      <c r="G94" s="10"/>
      <c r="H94" s="10"/>
    </row>
    <row r="95" customFormat="false" ht="15" hidden="false" customHeight="true" outlineLevel="0" collapsed="false">
      <c r="A95" s="3"/>
      <c r="B95" s="3" t="s">
        <v>420</v>
      </c>
      <c r="C95" s="10" t="n">
        <v>1</v>
      </c>
      <c r="D95" s="10"/>
      <c r="E95" s="10"/>
      <c r="F95" s="10"/>
      <c r="G95" s="10"/>
      <c r="H95" s="10"/>
    </row>
    <row r="96" customFormat="false" ht="15" hidden="false" customHeight="true" outlineLevel="0" collapsed="false">
      <c r="A96" s="3"/>
      <c r="B96" s="3" t="s">
        <v>421</v>
      </c>
      <c r="C96" s="10" t="n">
        <v>4</v>
      </c>
      <c r="D96" s="10" t="n">
        <v>4</v>
      </c>
      <c r="E96" s="10" t="s">
        <v>237</v>
      </c>
      <c r="F96" s="10"/>
      <c r="G96" s="10"/>
      <c r="H96" s="10"/>
    </row>
    <row r="97" customFormat="false" ht="15" hidden="false" customHeight="true" outlineLevel="0" collapsed="false">
      <c r="A97" s="3"/>
      <c r="B97" s="3" t="s">
        <v>422</v>
      </c>
      <c r="C97" s="10" t="n">
        <v>9</v>
      </c>
      <c r="D97" s="10"/>
      <c r="E97" s="10"/>
      <c r="F97" s="10"/>
      <c r="G97" s="10"/>
      <c r="H97" s="10"/>
    </row>
    <row r="98" customFormat="false" ht="15" hidden="false" customHeight="true" outlineLevel="0" collapsed="false">
      <c r="A98" s="3"/>
      <c r="B98" s="3" t="s">
        <v>423</v>
      </c>
      <c r="C98" s="10" t="s">
        <v>424</v>
      </c>
      <c r="D98" s="10"/>
      <c r="E98" s="10"/>
      <c r="F98" s="10"/>
      <c r="G98" s="10"/>
      <c r="H98" s="10"/>
    </row>
    <row r="99" customFormat="false" ht="15" hidden="false" customHeight="true" outlineLevel="0" collapsed="false">
      <c r="A99" s="3"/>
      <c r="B99" s="3" t="s">
        <v>425</v>
      </c>
      <c r="C99" s="10" t="s">
        <v>430</v>
      </c>
      <c r="D99" s="10"/>
      <c r="E99" s="10"/>
      <c r="F99" s="10"/>
      <c r="G99" s="10"/>
      <c r="H99" s="10"/>
    </row>
    <row r="100" customFormat="false" ht="15" hidden="false" customHeight="true" outlineLevel="0" collapsed="false">
      <c r="A100" s="3"/>
      <c r="B100" s="3" t="s">
        <v>427</v>
      </c>
      <c r="C100" s="10" t="s">
        <v>105</v>
      </c>
      <c r="D100" s="10"/>
      <c r="E100" s="10"/>
      <c r="F100" s="10"/>
      <c r="G100" s="10"/>
      <c r="H100" s="10"/>
    </row>
    <row r="101" customFormat="false" ht="15" hidden="false" customHeight="true" outlineLevel="0" collapsed="false">
      <c r="A101" s="3"/>
      <c r="B101" s="3" t="s">
        <v>428</v>
      </c>
      <c r="C101" s="10" t="s">
        <v>429</v>
      </c>
      <c r="D101" s="10"/>
      <c r="E101" s="10"/>
      <c r="F101" s="10"/>
      <c r="G101" s="10"/>
      <c r="H101" s="10"/>
    </row>
    <row r="102" customFormat="false" ht="23.25" hidden="false" customHeight="true" outlineLevel="0" collapsed="false">
      <c r="A102" s="4" t="s">
        <v>378</v>
      </c>
      <c r="B102" s="12"/>
      <c r="C102" s="12"/>
      <c r="D102" s="12"/>
      <c r="E102" s="12"/>
      <c r="F102" s="12"/>
      <c r="G102" s="12"/>
      <c r="H102" s="12"/>
    </row>
    <row r="103" customFormat="false" ht="15" hidden="false" customHeight="true" outlineLevel="0" collapsed="false">
      <c r="A103" s="3"/>
      <c r="B103" s="3" t="s">
        <v>415</v>
      </c>
      <c r="C103" s="10" t="n">
        <v>11</v>
      </c>
      <c r="D103" s="10" t="n">
        <v>11</v>
      </c>
      <c r="E103" s="10" t="s">
        <v>237</v>
      </c>
      <c r="F103" s="10"/>
      <c r="G103" s="10"/>
      <c r="H103" s="10"/>
    </row>
    <row r="104" customFormat="false" ht="15" hidden="false" customHeight="true" outlineLevel="0" collapsed="false">
      <c r="A104" s="3"/>
      <c r="B104" s="3" t="s">
        <v>418</v>
      </c>
      <c r="C104" s="10" t="n">
        <v>3</v>
      </c>
      <c r="D104" s="10"/>
      <c r="E104" s="10"/>
      <c r="F104" s="10"/>
      <c r="G104" s="10"/>
      <c r="H104" s="10"/>
    </row>
    <row r="105" customFormat="false" ht="15" hidden="false" customHeight="true" outlineLevel="0" collapsed="false">
      <c r="A105" s="3"/>
      <c r="B105" s="3" t="s">
        <v>419</v>
      </c>
      <c r="C105" s="10" t="n">
        <v>5</v>
      </c>
      <c r="D105" s="10"/>
      <c r="E105" s="10"/>
      <c r="F105" s="10"/>
      <c r="G105" s="10"/>
      <c r="H105" s="10"/>
    </row>
    <row r="106" customFormat="false" ht="15" hidden="false" customHeight="true" outlineLevel="0" collapsed="false">
      <c r="A106" s="3"/>
      <c r="B106" s="3" t="s">
        <v>420</v>
      </c>
      <c r="C106" s="10" t="n">
        <v>7</v>
      </c>
      <c r="D106" s="10"/>
      <c r="E106" s="10"/>
      <c r="F106" s="10"/>
      <c r="G106" s="10"/>
      <c r="H106" s="10"/>
    </row>
    <row r="107" customFormat="false" ht="15" hidden="false" customHeight="true" outlineLevel="0" collapsed="false">
      <c r="A107" s="3"/>
      <c r="B107" s="3" t="s">
        <v>421</v>
      </c>
      <c r="C107" s="10" t="n">
        <v>4</v>
      </c>
      <c r="D107" s="10" t="n">
        <v>4</v>
      </c>
      <c r="E107" s="10" t="s">
        <v>237</v>
      </c>
      <c r="F107" s="10"/>
      <c r="G107" s="10"/>
      <c r="H107" s="10"/>
    </row>
    <row r="108" customFormat="false" ht="15" hidden="false" customHeight="true" outlineLevel="0" collapsed="false">
      <c r="A108" s="3"/>
      <c r="B108" s="3" t="s">
        <v>422</v>
      </c>
      <c r="C108" s="10" t="n">
        <v>5</v>
      </c>
      <c r="D108" s="10"/>
      <c r="E108" s="10"/>
      <c r="F108" s="10"/>
      <c r="G108" s="10"/>
      <c r="H108" s="10"/>
    </row>
    <row r="109" customFormat="false" ht="15" hidden="false" customHeight="true" outlineLevel="0" collapsed="false">
      <c r="A109" s="3"/>
      <c r="B109" s="3" t="s">
        <v>423</v>
      </c>
      <c r="C109" s="10" t="s">
        <v>424</v>
      </c>
      <c r="D109" s="10"/>
      <c r="E109" s="10"/>
      <c r="F109" s="10"/>
      <c r="G109" s="10"/>
      <c r="H109" s="10"/>
    </row>
    <row r="110" customFormat="false" ht="15" hidden="false" customHeight="true" outlineLevel="0" collapsed="false">
      <c r="A110" s="3"/>
      <c r="B110" s="3" t="s">
        <v>425</v>
      </c>
      <c r="C110" s="10" t="s">
        <v>436</v>
      </c>
      <c r="D110" s="10"/>
      <c r="E110" s="10"/>
      <c r="F110" s="10"/>
      <c r="G110" s="10"/>
      <c r="H110" s="10"/>
    </row>
    <row r="111" customFormat="false" ht="15" hidden="false" customHeight="true" outlineLevel="0" collapsed="false">
      <c r="A111" s="3"/>
      <c r="B111" s="3" t="s">
        <v>427</v>
      </c>
      <c r="C111" s="10" t="s">
        <v>112</v>
      </c>
      <c r="D111" s="10"/>
      <c r="E111" s="10"/>
      <c r="F111" s="10"/>
      <c r="G111" s="10"/>
      <c r="H111" s="10"/>
    </row>
    <row r="112" customFormat="false" ht="15" hidden="false" customHeight="true" outlineLevel="0" collapsed="false">
      <c r="A112" s="3"/>
      <c r="B112" s="3" t="s">
        <v>428</v>
      </c>
      <c r="C112" s="10" t="s">
        <v>429</v>
      </c>
      <c r="D112" s="10"/>
      <c r="E112" s="10"/>
      <c r="F112" s="10"/>
      <c r="G112" s="10"/>
      <c r="H112" s="10"/>
    </row>
    <row r="113" customFormat="false" ht="23.25" hidden="false" customHeight="true" outlineLevel="0" collapsed="false">
      <c r="A113" s="4" t="s">
        <v>390</v>
      </c>
      <c r="B113" s="12"/>
      <c r="C113" s="12"/>
      <c r="D113" s="12"/>
      <c r="E113" s="12"/>
      <c r="F113" s="12"/>
      <c r="G113" s="12"/>
      <c r="H113" s="12"/>
    </row>
    <row r="114" customFormat="false" ht="15" hidden="false" customHeight="true" outlineLevel="0" collapsed="false">
      <c r="A114" s="3"/>
      <c r="B114" s="3" t="s">
        <v>415</v>
      </c>
      <c r="C114" s="10" t="n">
        <v>9</v>
      </c>
      <c r="D114" s="10" t="n">
        <v>9</v>
      </c>
      <c r="E114" s="10" t="s">
        <v>237</v>
      </c>
      <c r="F114" s="10"/>
      <c r="G114" s="10"/>
      <c r="H114" s="10"/>
    </row>
    <row r="115" customFormat="false" ht="15" hidden="false" customHeight="true" outlineLevel="0" collapsed="false">
      <c r="A115" s="3"/>
      <c r="B115" s="3" t="s">
        <v>418</v>
      </c>
      <c r="C115" s="10" t="n">
        <v>8</v>
      </c>
      <c r="D115" s="10"/>
      <c r="E115" s="10"/>
      <c r="F115" s="10"/>
      <c r="G115" s="10"/>
      <c r="H115" s="10"/>
    </row>
    <row r="116" customFormat="false" ht="15" hidden="false" customHeight="true" outlineLevel="0" collapsed="false">
      <c r="A116" s="3"/>
      <c r="B116" s="3" t="s">
        <v>419</v>
      </c>
      <c r="C116" s="10" t="n">
        <v>5</v>
      </c>
      <c r="D116" s="10"/>
      <c r="E116" s="10"/>
      <c r="F116" s="10"/>
      <c r="G116" s="10"/>
      <c r="H116" s="10"/>
    </row>
    <row r="117" customFormat="false" ht="15" hidden="false" customHeight="true" outlineLevel="0" collapsed="false">
      <c r="A117" s="3"/>
      <c r="B117" s="3" t="s">
        <v>420</v>
      </c>
      <c r="C117" s="10" t="n">
        <v>3</v>
      </c>
      <c r="D117" s="10"/>
      <c r="E117" s="10"/>
      <c r="F117" s="10"/>
      <c r="G117" s="10"/>
      <c r="H117" s="10"/>
    </row>
    <row r="118" customFormat="false" ht="15" hidden="false" customHeight="true" outlineLevel="0" collapsed="false">
      <c r="A118" s="3"/>
      <c r="B118" s="3" t="s">
        <v>421</v>
      </c>
      <c r="C118" s="10" t="n">
        <v>4</v>
      </c>
      <c r="D118" s="10" t="n">
        <v>4</v>
      </c>
      <c r="E118" s="10" t="s">
        <v>237</v>
      </c>
      <c r="F118" s="10"/>
      <c r="G118" s="10"/>
      <c r="H118" s="10"/>
    </row>
    <row r="119" customFormat="false" ht="15" hidden="false" customHeight="true" outlineLevel="0" collapsed="false">
      <c r="A119" s="3"/>
      <c r="B119" s="3" t="s">
        <v>422</v>
      </c>
      <c r="C119" s="10" t="n">
        <v>8</v>
      </c>
      <c r="D119" s="10"/>
      <c r="E119" s="10"/>
      <c r="F119" s="10"/>
      <c r="G119" s="10"/>
      <c r="H119" s="10"/>
    </row>
    <row r="120" customFormat="false" ht="15" hidden="false" customHeight="true" outlineLevel="0" collapsed="false">
      <c r="A120" s="3"/>
      <c r="B120" s="3" t="s">
        <v>423</v>
      </c>
      <c r="C120" s="10" t="s">
        <v>430</v>
      </c>
      <c r="D120" s="10"/>
      <c r="E120" s="10"/>
      <c r="F120" s="10"/>
      <c r="G120" s="10"/>
      <c r="H120" s="10"/>
    </row>
    <row r="121" customFormat="false" ht="15" hidden="false" customHeight="true" outlineLevel="0" collapsed="false">
      <c r="A121" s="3"/>
      <c r="B121" s="3" t="s">
        <v>425</v>
      </c>
      <c r="C121" s="10" t="s">
        <v>434</v>
      </c>
      <c r="D121" s="10"/>
      <c r="E121" s="10"/>
      <c r="F121" s="10"/>
      <c r="G121" s="10"/>
      <c r="H121" s="10"/>
    </row>
    <row r="122" customFormat="false" ht="15" hidden="false" customHeight="true" outlineLevel="0" collapsed="false">
      <c r="A122" s="3"/>
      <c r="B122" s="3" t="s">
        <v>427</v>
      </c>
      <c r="C122" s="10" t="s">
        <v>119</v>
      </c>
      <c r="D122" s="10"/>
      <c r="E122" s="10"/>
      <c r="F122" s="10"/>
      <c r="G122" s="10"/>
      <c r="H122" s="10"/>
    </row>
    <row r="123" customFormat="false" ht="15" hidden="false" customHeight="true" outlineLevel="0" collapsed="false">
      <c r="A123" s="3"/>
      <c r="B123" s="3" t="s">
        <v>428</v>
      </c>
      <c r="C123" s="10" t="s">
        <v>429</v>
      </c>
      <c r="D123" s="10"/>
      <c r="E123" s="10"/>
      <c r="F123" s="10"/>
      <c r="G123" s="10"/>
      <c r="H123" s="10"/>
    </row>
    <row r="124" customFormat="false" ht="23.25" hidden="false" customHeight="true" outlineLevel="0" collapsed="false">
      <c r="A124" s="4" t="s">
        <v>402</v>
      </c>
      <c r="B124" s="12"/>
      <c r="C124" s="12"/>
      <c r="D124" s="12"/>
      <c r="E124" s="12"/>
      <c r="F124" s="12"/>
      <c r="G124" s="12"/>
      <c r="H124" s="12"/>
    </row>
    <row r="125" customFormat="false" ht="15" hidden="false" customHeight="true" outlineLevel="0" collapsed="false">
      <c r="A125" s="3"/>
      <c r="B125" s="3" t="s">
        <v>415</v>
      </c>
      <c r="C125" s="10" t="n">
        <v>3</v>
      </c>
      <c r="D125" s="10" t="n">
        <v>3</v>
      </c>
      <c r="E125" s="10" t="s">
        <v>237</v>
      </c>
      <c r="F125" s="10"/>
      <c r="G125" s="10"/>
      <c r="H125" s="10"/>
    </row>
    <row r="126" customFormat="false" ht="15" hidden="false" customHeight="true" outlineLevel="0" collapsed="false">
      <c r="A126" s="3"/>
      <c r="B126" s="3" t="s">
        <v>418</v>
      </c>
      <c r="C126" s="10" t="n">
        <v>8</v>
      </c>
      <c r="D126" s="10"/>
      <c r="E126" s="10"/>
      <c r="F126" s="10"/>
      <c r="G126" s="10"/>
      <c r="H126" s="10"/>
    </row>
    <row r="127" customFormat="false" ht="15" hidden="false" customHeight="true" outlineLevel="0" collapsed="false">
      <c r="A127" s="3"/>
      <c r="B127" s="3" t="s">
        <v>419</v>
      </c>
      <c r="C127" s="10" t="n">
        <v>1</v>
      </c>
      <c r="D127" s="10"/>
      <c r="E127" s="10"/>
      <c r="F127" s="10"/>
      <c r="G127" s="10"/>
      <c r="H127" s="10"/>
    </row>
    <row r="128" customFormat="false" ht="15" hidden="false" customHeight="true" outlineLevel="0" collapsed="false">
      <c r="A128" s="3"/>
      <c r="B128" s="3" t="s">
        <v>420</v>
      </c>
      <c r="C128" s="10" t="n">
        <v>7</v>
      </c>
      <c r="D128" s="10"/>
      <c r="E128" s="10"/>
      <c r="F128" s="10"/>
      <c r="G128" s="10"/>
      <c r="H128" s="10"/>
    </row>
    <row r="129" customFormat="false" ht="15" hidden="false" customHeight="true" outlineLevel="0" collapsed="false">
      <c r="A129" s="3"/>
      <c r="B129" s="3" t="s">
        <v>421</v>
      </c>
      <c r="C129" s="10" t="n">
        <v>1</v>
      </c>
      <c r="D129" s="10" t="n">
        <v>1</v>
      </c>
      <c r="E129" s="10" t="s">
        <v>237</v>
      </c>
      <c r="F129" s="10"/>
      <c r="G129" s="10"/>
      <c r="H129" s="10"/>
    </row>
    <row r="130" customFormat="false" ht="15" hidden="false" customHeight="true" outlineLevel="0" collapsed="false">
      <c r="A130" s="3"/>
      <c r="B130" s="3" t="s">
        <v>422</v>
      </c>
      <c r="C130" s="10" t="n">
        <v>11</v>
      </c>
      <c r="D130" s="10"/>
      <c r="E130" s="10"/>
      <c r="F130" s="10"/>
      <c r="G130" s="10"/>
      <c r="H130" s="10"/>
    </row>
    <row r="131" customFormat="false" ht="15" hidden="false" customHeight="true" outlineLevel="0" collapsed="false">
      <c r="A131" s="3"/>
      <c r="B131" s="3" t="s">
        <v>423</v>
      </c>
      <c r="C131" s="10" t="s">
        <v>424</v>
      </c>
      <c r="D131" s="10"/>
      <c r="E131" s="10"/>
      <c r="F131" s="10"/>
      <c r="G131" s="10"/>
      <c r="H131" s="10"/>
    </row>
    <row r="132" customFormat="false" ht="15" hidden="false" customHeight="true" outlineLevel="0" collapsed="false">
      <c r="A132" s="3"/>
      <c r="B132" s="3" t="s">
        <v>425</v>
      </c>
      <c r="C132" s="10" t="s">
        <v>437</v>
      </c>
      <c r="D132" s="10"/>
      <c r="E132" s="10"/>
      <c r="F132" s="10"/>
      <c r="G132" s="10"/>
      <c r="H132" s="10"/>
    </row>
    <row r="133" customFormat="false" ht="15" hidden="false" customHeight="true" outlineLevel="0" collapsed="false">
      <c r="A133" s="3"/>
      <c r="B133" s="3" t="s">
        <v>427</v>
      </c>
      <c r="C133" s="10" t="s">
        <v>126</v>
      </c>
      <c r="D133" s="10"/>
      <c r="E133" s="10"/>
      <c r="F133" s="10"/>
      <c r="G133" s="10"/>
      <c r="H133" s="10"/>
    </row>
    <row r="134" customFormat="false" ht="15" hidden="false" customHeight="true" outlineLevel="0" collapsed="false">
      <c r="A134" s="3"/>
      <c r="B134" s="3" t="s">
        <v>428</v>
      </c>
      <c r="C134" s="10" t="s">
        <v>429</v>
      </c>
      <c r="D134" s="10"/>
      <c r="E134" s="10"/>
      <c r="F134" s="10"/>
      <c r="G134" s="10"/>
      <c r="H134" s="10"/>
    </row>
    <row r="136" customFormat="false" ht="23.25" hidden="false" customHeight="true" outlineLevel="0" collapsed="false">
      <c r="B136" s="6" t="s">
        <v>438</v>
      </c>
      <c r="C136" s="6"/>
      <c r="D136" s="6"/>
      <c r="E136" s="6"/>
      <c r="F136" s="6"/>
      <c r="G136" s="6"/>
      <c r="H136" s="6"/>
    </row>
  </sheetData>
  <mergeCells count="1">
    <mergeCell ref="B136:H136"/>
  </mergeCells>
  <dataValidations count="2">
    <dataValidation allowBlank="true" errorStyle="stop" operator="between" showDropDown="false" showErrorMessage="false" showInputMessage="false" sqref="E3:E134" type="list">
      <formula1>"Y,N,—"</formula1>
      <formula2>0</formula2>
    </dataValidation>
    <dataValidation allowBlank="true" errorStyle="stop" operator="between" showDropDown="false" showErrorMessage="false" showInputMessage="false" sqref="F3:F134" type="list">
      <formula1>"S1 — Critical,S2 — Major,S3 — Minor,S4 — Trivial"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24"/>
    <col collapsed="false" customWidth="true" hidden="false" outlineLevel="0" max="5" min="5" style="1" width="13"/>
    <col collapsed="false" customWidth="true" hidden="false" outlineLevel="0" max="6" min="6" style="1" width="15"/>
    <col collapsed="false" customWidth="true" hidden="false" outlineLevel="0" max="7" min="7" style="1" width="9"/>
    <col collapsed="false" customWidth="true" hidden="false" outlineLevel="0" max="8" min="8" style="1" width="28"/>
  </cols>
  <sheetData>
    <row r="1" customFormat="false" ht="26.25" hidden="false" customHeight="true" outlineLevel="0" collapsed="false">
      <c r="A1" s="9" t="s">
        <v>41</v>
      </c>
      <c r="B1" s="9" t="s">
        <v>226</v>
      </c>
      <c r="C1" s="9" t="s">
        <v>227</v>
      </c>
      <c r="D1" s="9" t="s">
        <v>439</v>
      </c>
      <c r="E1" s="9" t="s">
        <v>230</v>
      </c>
      <c r="F1" s="9" t="s">
        <v>231</v>
      </c>
      <c r="G1" s="9" t="s">
        <v>232</v>
      </c>
      <c r="H1" s="9" t="s">
        <v>174</v>
      </c>
    </row>
    <row r="2" customFormat="false" ht="15" hidden="false" customHeight="true" outlineLevel="0" collapsed="false">
      <c r="A2" s="6" t="s">
        <v>233</v>
      </c>
      <c r="B2" s="6" t="s">
        <v>165</v>
      </c>
      <c r="C2" s="6" t="s">
        <v>440</v>
      </c>
      <c r="D2" s="6" t="s">
        <v>440</v>
      </c>
      <c r="E2" s="6" t="s">
        <v>237</v>
      </c>
      <c r="F2" s="6"/>
      <c r="G2" s="6"/>
      <c r="H2" s="6" t="s">
        <v>441</v>
      </c>
    </row>
    <row r="3" customFormat="false" ht="15" hidden="false" customHeight="true" outlineLevel="0" collapsed="false">
      <c r="A3" s="4" t="s">
        <v>239</v>
      </c>
      <c r="B3" s="12"/>
      <c r="C3" s="12"/>
      <c r="D3" s="12"/>
      <c r="E3" s="12"/>
      <c r="F3" s="12"/>
      <c r="G3" s="12"/>
      <c r="H3" s="12"/>
    </row>
    <row r="4" customFormat="false" ht="15" hidden="false" customHeight="true" outlineLevel="0" collapsed="false">
      <c r="A4" s="3"/>
      <c r="B4" s="3" t="s">
        <v>165</v>
      </c>
      <c r="C4" s="10" t="s">
        <v>442</v>
      </c>
      <c r="D4" s="10"/>
      <c r="E4" s="10"/>
      <c r="F4" s="10"/>
      <c r="G4" s="10"/>
      <c r="H4" s="10"/>
    </row>
    <row r="5" customFormat="false" ht="15" hidden="false" customHeight="true" outlineLevel="0" collapsed="false">
      <c r="A5" s="3"/>
      <c r="B5" s="3" t="s">
        <v>443</v>
      </c>
      <c r="C5" s="10"/>
      <c r="D5" s="10"/>
      <c r="E5" s="10"/>
      <c r="F5" s="10"/>
      <c r="G5" s="10"/>
      <c r="H5" s="10"/>
    </row>
    <row r="6" customFormat="false" ht="15" hidden="false" customHeight="true" outlineLevel="0" collapsed="false">
      <c r="A6" s="3"/>
      <c r="B6" s="3" t="s">
        <v>444</v>
      </c>
      <c r="C6" s="10" t="s">
        <v>445</v>
      </c>
      <c r="D6" s="10"/>
      <c r="E6" s="10"/>
      <c r="F6" s="10"/>
      <c r="G6" s="10"/>
      <c r="H6" s="10"/>
    </row>
    <row r="7" customFormat="false" ht="15" hidden="false" customHeight="true" outlineLevel="0" collapsed="false">
      <c r="A7" s="3"/>
      <c r="B7" s="3" t="s">
        <v>446</v>
      </c>
      <c r="C7" s="10" t="s">
        <v>447</v>
      </c>
      <c r="D7" s="10"/>
      <c r="E7" s="10"/>
      <c r="F7" s="10"/>
      <c r="G7" s="10"/>
      <c r="H7" s="10"/>
    </row>
    <row r="8" customFormat="false" ht="15" hidden="false" customHeight="true" outlineLevel="0" collapsed="false">
      <c r="A8" s="3"/>
      <c r="B8" s="3" t="s">
        <v>448</v>
      </c>
      <c r="C8" s="10" t="s">
        <v>449</v>
      </c>
      <c r="D8" s="10"/>
      <c r="E8" s="10"/>
      <c r="F8" s="10"/>
      <c r="G8" s="10"/>
      <c r="H8" s="10"/>
    </row>
    <row r="9" customFormat="false" ht="15" hidden="false" customHeight="true" outlineLevel="0" collapsed="false">
      <c r="A9" s="3"/>
      <c r="B9" s="3" t="s">
        <v>450</v>
      </c>
      <c r="C9" s="10" t="s">
        <v>451</v>
      </c>
      <c r="D9" s="10"/>
      <c r="E9" s="10"/>
      <c r="F9" s="10"/>
      <c r="G9" s="10"/>
      <c r="H9" s="10"/>
    </row>
    <row r="10" customFormat="false" ht="15" hidden="false" customHeight="true" outlineLevel="0" collapsed="false">
      <c r="A10" s="3"/>
      <c r="B10" s="3" t="s">
        <v>452</v>
      </c>
      <c r="C10" s="10" t="s">
        <v>453</v>
      </c>
      <c r="D10" s="10"/>
      <c r="E10" s="10"/>
      <c r="F10" s="10"/>
      <c r="G10" s="10"/>
      <c r="H10" s="10"/>
    </row>
    <row r="11" customFormat="false" ht="15" hidden="false" customHeight="true" outlineLevel="0" collapsed="false">
      <c r="A11" s="3"/>
      <c r="B11" s="3" t="s">
        <v>454</v>
      </c>
      <c r="C11" s="10"/>
      <c r="D11" s="10"/>
      <c r="E11" s="10"/>
      <c r="F11" s="10"/>
      <c r="G11" s="10"/>
      <c r="H11" s="10"/>
    </row>
    <row r="12" customFormat="false" ht="15" hidden="false" customHeight="true" outlineLevel="0" collapsed="false">
      <c r="A12" s="3"/>
      <c r="B12" s="3" t="s">
        <v>455</v>
      </c>
      <c r="C12" s="10"/>
      <c r="D12" s="10"/>
      <c r="E12" s="10"/>
      <c r="F12" s="10"/>
      <c r="G12" s="10"/>
      <c r="H12" s="10"/>
    </row>
    <row r="13" customFormat="false" ht="15" hidden="false" customHeight="true" outlineLevel="0" collapsed="false">
      <c r="A13" s="3"/>
      <c r="B13" s="3" t="s">
        <v>456</v>
      </c>
      <c r="C13" s="10" t="s">
        <v>457</v>
      </c>
      <c r="D13" s="10"/>
      <c r="E13" s="10"/>
      <c r="F13" s="10"/>
      <c r="G13" s="10"/>
      <c r="H13" s="10"/>
    </row>
    <row r="14" customFormat="false" ht="23.25" hidden="false" customHeight="true" outlineLevel="0" collapsed="false">
      <c r="A14" s="4" t="s">
        <v>270</v>
      </c>
      <c r="B14" s="12"/>
      <c r="C14" s="12"/>
      <c r="D14" s="12"/>
      <c r="E14" s="12"/>
      <c r="F14" s="12"/>
      <c r="G14" s="12"/>
      <c r="H14" s="12"/>
    </row>
    <row r="15" customFormat="false" ht="15" hidden="false" customHeight="true" outlineLevel="0" collapsed="false">
      <c r="A15" s="3"/>
      <c r="B15" s="3" t="s">
        <v>165</v>
      </c>
      <c r="C15" s="10" t="s">
        <v>458</v>
      </c>
      <c r="D15" s="10"/>
      <c r="E15" s="10"/>
      <c r="F15" s="10"/>
      <c r="G15" s="10"/>
      <c r="H15" s="10"/>
    </row>
    <row r="16" customFormat="false" ht="15" hidden="false" customHeight="true" outlineLevel="0" collapsed="false">
      <c r="A16" s="3"/>
      <c r="B16" s="3" t="s">
        <v>443</v>
      </c>
      <c r="C16" s="10"/>
      <c r="D16" s="10"/>
      <c r="E16" s="10"/>
      <c r="F16" s="10"/>
      <c r="G16" s="10"/>
      <c r="H16" s="10"/>
    </row>
    <row r="17" customFormat="false" ht="15" hidden="false" customHeight="true" outlineLevel="0" collapsed="false">
      <c r="A17" s="3"/>
      <c r="B17" s="3" t="s">
        <v>444</v>
      </c>
      <c r="C17" s="10" t="s">
        <v>459</v>
      </c>
      <c r="D17" s="10"/>
      <c r="E17" s="10"/>
      <c r="F17" s="10"/>
      <c r="G17" s="10"/>
      <c r="H17" s="10"/>
    </row>
    <row r="18" customFormat="false" ht="15" hidden="false" customHeight="true" outlineLevel="0" collapsed="false">
      <c r="A18" s="3"/>
      <c r="B18" s="3" t="s">
        <v>446</v>
      </c>
      <c r="C18" s="10" t="s">
        <v>460</v>
      </c>
      <c r="D18" s="10"/>
      <c r="E18" s="10"/>
      <c r="F18" s="10"/>
      <c r="G18" s="10"/>
      <c r="H18" s="10"/>
    </row>
    <row r="19" customFormat="false" ht="15" hidden="false" customHeight="true" outlineLevel="0" collapsed="false">
      <c r="A19" s="3"/>
      <c r="B19" s="3" t="s">
        <v>448</v>
      </c>
      <c r="C19" s="10" t="s">
        <v>461</v>
      </c>
      <c r="D19" s="10"/>
      <c r="E19" s="10"/>
      <c r="F19" s="10"/>
      <c r="G19" s="10"/>
      <c r="H19" s="10"/>
    </row>
    <row r="20" customFormat="false" ht="15" hidden="false" customHeight="true" outlineLevel="0" collapsed="false">
      <c r="A20" s="3"/>
      <c r="B20" s="3" t="s">
        <v>450</v>
      </c>
      <c r="C20" s="10" t="s">
        <v>462</v>
      </c>
      <c r="D20" s="10"/>
      <c r="E20" s="10"/>
      <c r="F20" s="10"/>
      <c r="G20" s="10"/>
      <c r="H20" s="10"/>
    </row>
    <row r="21" customFormat="false" ht="15" hidden="false" customHeight="true" outlineLevel="0" collapsed="false">
      <c r="A21" s="3"/>
      <c r="B21" s="3" t="s">
        <v>452</v>
      </c>
      <c r="C21" s="10" t="s">
        <v>463</v>
      </c>
      <c r="D21" s="10"/>
      <c r="E21" s="10"/>
      <c r="F21" s="10"/>
      <c r="G21" s="10"/>
      <c r="H21" s="10"/>
    </row>
    <row r="22" customFormat="false" ht="15" hidden="false" customHeight="true" outlineLevel="0" collapsed="false">
      <c r="A22" s="3"/>
      <c r="B22" s="3" t="s">
        <v>454</v>
      </c>
      <c r="C22" s="10"/>
      <c r="D22" s="10"/>
      <c r="E22" s="10"/>
      <c r="F22" s="10"/>
      <c r="G22" s="10"/>
      <c r="H22" s="10"/>
    </row>
    <row r="23" customFormat="false" ht="15" hidden="false" customHeight="true" outlineLevel="0" collapsed="false">
      <c r="A23" s="3"/>
      <c r="B23" s="3" t="s">
        <v>455</v>
      </c>
      <c r="C23" s="10"/>
      <c r="D23" s="10"/>
      <c r="E23" s="10"/>
      <c r="F23" s="10"/>
      <c r="G23" s="10"/>
      <c r="H23" s="10"/>
    </row>
    <row r="24" customFormat="false" ht="15" hidden="false" customHeight="true" outlineLevel="0" collapsed="false">
      <c r="A24" s="3"/>
      <c r="B24" s="3" t="s">
        <v>456</v>
      </c>
      <c r="C24" s="10" t="s">
        <v>464</v>
      </c>
      <c r="D24" s="10"/>
      <c r="E24" s="10"/>
      <c r="F24" s="10"/>
      <c r="G24" s="10"/>
      <c r="H24" s="10"/>
    </row>
    <row r="25" customFormat="false" ht="23.25" hidden="false" customHeight="true" outlineLevel="0" collapsed="false">
      <c r="A25" s="4" t="s">
        <v>283</v>
      </c>
      <c r="B25" s="12"/>
      <c r="C25" s="12"/>
      <c r="D25" s="12"/>
      <c r="E25" s="12"/>
      <c r="F25" s="12"/>
      <c r="G25" s="12"/>
      <c r="H25" s="12"/>
    </row>
    <row r="26" customFormat="false" ht="15" hidden="false" customHeight="true" outlineLevel="0" collapsed="false">
      <c r="A26" s="3"/>
      <c r="B26" s="3" t="s">
        <v>165</v>
      </c>
      <c r="C26" s="10" t="s">
        <v>465</v>
      </c>
      <c r="D26" s="10"/>
      <c r="E26" s="10"/>
      <c r="F26" s="10"/>
      <c r="G26" s="10"/>
      <c r="H26" s="10"/>
    </row>
    <row r="27" customFormat="false" ht="15" hidden="false" customHeight="true" outlineLevel="0" collapsed="false">
      <c r="A27" s="3"/>
      <c r="B27" s="3" t="s">
        <v>443</v>
      </c>
      <c r="C27" s="10"/>
      <c r="D27" s="10"/>
      <c r="E27" s="10"/>
      <c r="F27" s="10"/>
      <c r="G27" s="10"/>
      <c r="H27" s="10"/>
    </row>
    <row r="28" customFormat="false" ht="15" hidden="false" customHeight="true" outlineLevel="0" collapsed="false">
      <c r="A28" s="3"/>
      <c r="B28" s="3" t="s">
        <v>444</v>
      </c>
      <c r="C28" s="10" t="s">
        <v>466</v>
      </c>
      <c r="D28" s="10"/>
      <c r="E28" s="10"/>
      <c r="F28" s="10"/>
      <c r="G28" s="10"/>
      <c r="H28" s="10"/>
    </row>
    <row r="29" customFormat="false" ht="15" hidden="false" customHeight="true" outlineLevel="0" collapsed="false">
      <c r="A29" s="3"/>
      <c r="B29" s="3" t="s">
        <v>446</v>
      </c>
      <c r="C29" s="10" t="s">
        <v>467</v>
      </c>
      <c r="D29" s="10"/>
      <c r="E29" s="10"/>
      <c r="F29" s="10"/>
      <c r="G29" s="10"/>
      <c r="H29" s="10"/>
    </row>
    <row r="30" customFormat="false" ht="15" hidden="false" customHeight="true" outlineLevel="0" collapsed="false">
      <c r="A30" s="3"/>
      <c r="B30" s="3" t="s">
        <v>448</v>
      </c>
      <c r="C30" s="10" t="s">
        <v>468</v>
      </c>
      <c r="D30" s="10"/>
      <c r="E30" s="10"/>
      <c r="F30" s="10"/>
      <c r="G30" s="10"/>
      <c r="H30" s="10"/>
    </row>
    <row r="31" customFormat="false" ht="15" hidden="false" customHeight="true" outlineLevel="0" collapsed="false">
      <c r="A31" s="3"/>
      <c r="B31" s="3" t="s">
        <v>450</v>
      </c>
      <c r="C31" s="10" t="s">
        <v>469</v>
      </c>
      <c r="D31" s="10"/>
      <c r="E31" s="10"/>
      <c r="F31" s="10"/>
      <c r="G31" s="10"/>
      <c r="H31" s="10"/>
    </row>
    <row r="32" customFormat="false" ht="15" hidden="false" customHeight="true" outlineLevel="0" collapsed="false">
      <c r="A32" s="3"/>
      <c r="B32" s="3" t="s">
        <v>452</v>
      </c>
      <c r="C32" s="10" t="s">
        <v>470</v>
      </c>
      <c r="D32" s="10"/>
      <c r="E32" s="10"/>
      <c r="F32" s="10"/>
      <c r="G32" s="10"/>
      <c r="H32" s="10"/>
    </row>
    <row r="33" customFormat="false" ht="15" hidden="false" customHeight="true" outlineLevel="0" collapsed="false">
      <c r="A33" s="3"/>
      <c r="B33" s="3" t="s">
        <v>454</v>
      </c>
      <c r="C33" s="10"/>
      <c r="D33" s="10"/>
      <c r="E33" s="10"/>
      <c r="F33" s="10"/>
      <c r="G33" s="10"/>
      <c r="H33" s="10"/>
    </row>
    <row r="34" customFormat="false" ht="15" hidden="false" customHeight="true" outlineLevel="0" collapsed="false">
      <c r="A34" s="3"/>
      <c r="B34" s="3" t="s">
        <v>455</v>
      </c>
      <c r="C34" s="10"/>
      <c r="D34" s="10"/>
      <c r="E34" s="10"/>
      <c r="F34" s="10"/>
      <c r="G34" s="10"/>
      <c r="H34" s="10"/>
    </row>
    <row r="35" customFormat="false" ht="15" hidden="false" customHeight="true" outlineLevel="0" collapsed="false">
      <c r="A35" s="3"/>
      <c r="B35" s="3" t="s">
        <v>456</v>
      </c>
      <c r="C35" s="10" t="s">
        <v>471</v>
      </c>
      <c r="D35" s="10"/>
      <c r="E35" s="10"/>
      <c r="F35" s="10"/>
      <c r="G35" s="10"/>
      <c r="H35" s="10"/>
    </row>
    <row r="36" customFormat="false" ht="23.25" hidden="false" customHeight="true" outlineLevel="0" collapsed="false">
      <c r="A36" s="4" t="s">
        <v>297</v>
      </c>
      <c r="B36" s="12"/>
      <c r="C36" s="12"/>
      <c r="D36" s="12"/>
      <c r="E36" s="12"/>
      <c r="F36" s="12"/>
      <c r="G36" s="12"/>
      <c r="H36" s="12"/>
    </row>
    <row r="37" customFormat="false" ht="15" hidden="false" customHeight="true" outlineLevel="0" collapsed="false">
      <c r="A37" s="3"/>
      <c r="B37" s="3" t="s">
        <v>165</v>
      </c>
      <c r="C37" s="10" t="s">
        <v>458</v>
      </c>
      <c r="D37" s="10"/>
      <c r="E37" s="10"/>
      <c r="F37" s="10"/>
      <c r="G37" s="10"/>
      <c r="H37" s="10"/>
    </row>
    <row r="38" customFormat="false" ht="15" hidden="false" customHeight="true" outlineLevel="0" collapsed="false">
      <c r="A38" s="3"/>
      <c r="B38" s="3" t="s">
        <v>443</v>
      </c>
      <c r="C38" s="10"/>
      <c r="D38" s="10"/>
      <c r="E38" s="10"/>
      <c r="F38" s="10"/>
      <c r="G38" s="10"/>
      <c r="H38" s="10"/>
    </row>
    <row r="39" customFormat="false" ht="15" hidden="false" customHeight="true" outlineLevel="0" collapsed="false">
      <c r="A39" s="3"/>
      <c r="B39" s="3" t="s">
        <v>444</v>
      </c>
      <c r="C39" s="10" t="s">
        <v>459</v>
      </c>
      <c r="D39" s="10"/>
      <c r="E39" s="10"/>
      <c r="F39" s="10"/>
      <c r="G39" s="10"/>
      <c r="H39" s="10"/>
    </row>
    <row r="40" customFormat="false" ht="15" hidden="false" customHeight="true" outlineLevel="0" collapsed="false">
      <c r="A40" s="3"/>
      <c r="B40" s="3" t="s">
        <v>446</v>
      </c>
      <c r="C40" s="10" t="s">
        <v>467</v>
      </c>
      <c r="D40" s="10"/>
      <c r="E40" s="10"/>
      <c r="F40" s="10"/>
      <c r="G40" s="10"/>
      <c r="H40" s="10"/>
    </row>
    <row r="41" customFormat="false" ht="15" hidden="false" customHeight="true" outlineLevel="0" collapsed="false">
      <c r="A41" s="3"/>
      <c r="B41" s="3" t="s">
        <v>448</v>
      </c>
      <c r="C41" s="10" t="s">
        <v>461</v>
      </c>
      <c r="D41" s="10"/>
      <c r="E41" s="10"/>
      <c r="F41" s="10"/>
      <c r="G41" s="10"/>
      <c r="H41" s="10"/>
    </row>
    <row r="42" customFormat="false" ht="15" hidden="false" customHeight="true" outlineLevel="0" collapsed="false">
      <c r="A42" s="3"/>
      <c r="B42" s="3" t="s">
        <v>450</v>
      </c>
      <c r="C42" s="10" t="s">
        <v>472</v>
      </c>
      <c r="D42" s="10"/>
      <c r="E42" s="10"/>
      <c r="F42" s="10"/>
      <c r="G42" s="10"/>
      <c r="H42" s="10"/>
    </row>
    <row r="43" customFormat="false" ht="15" hidden="false" customHeight="true" outlineLevel="0" collapsed="false">
      <c r="A43" s="3"/>
      <c r="B43" s="3" t="s">
        <v>452</v>
      </c>
      <c r="C43" s="10" t="s">
        <v>473</v>
      </c>
      <c r="D43" s="10"/>
      <c r="E43" s="10"/>
      <c r="F43" s="10"/>
      <c r="G43" s="10"/>
      <c r="H43" s="10"/>
    </row>
    <row r="44" customFormat="false" ht="15" hidden="false" customHeight="true" outlineLevel="0" collapsed="false">
      <c r="A44" s="3"/>
      <c r="B44" s="3" t="s">
        <v>454</v>
      </c>
      <c r="C44" s="10"/>
      <c r="D44" s="10"/>
      <c r="E44" s="10"/>
      <c r="F44" s="10"/>
      <c r="G44" s="10"/>
      <c r="H44" s="10"/>
    </row>
    <row r="45" customFormat="false" ht="15" hidden="false" customHeight="true" outlineLevel="0" collapsed="false">
      <c r="A45" s="3"/>
      <c r="B45" s="3" t="s">
        <v>455</v>
      </c>
      <c r="C45" s="10"/>
      <c r="D45" s="10"/>
      <c r="E45" s="10"/>
      <c r="F45" s="10"/>
      <c r="G45" s="10"/>
      <c r="H45" s="10"/>
    </row>
    <row r="46" customFormat="false" ht="15" hidden="false" customHeight="true" outlineLevel="0" collapsed="false">
      <c r="A46" s="3"/>
      <c r="B46" s="3" t="s">
        <v>456</v>
      </c>
      <c r="C46" s="10" t="s">
        <v>474</v>
      </c>
      <c r="D46" s="10"/>
      <c r="E46" s="10"/>
      <c r="F46" s="10"/>
      <c r="G46" s="10"/>
      <c r="H46" s="10"/>
    </row>
    <row r="47" customFormat="false" ht="23.25" hidden="false" customHeight="true" outlineLevel="0" collapsed="false">
      <c r="A47" s="4" t="s">
        <v>312</v>
      </c>
      <c r="B47" s="12"/>
      <c r="C47" s="12"/>
      <c r="D47" s="12"/>
      <c r="E47" s="12"/>
      <c r="F47" s="12"/>
      <c r="G47" s="12"/>
      <c r="H47" s="12"/>
    </row>
    <row r="48" customFormat="false" ht="15" hidden="false" customHeight="true" outlineLevel="0" collapsed="false">
      <c r="A48" s="3"/>
      <c r="B48" s="3" t="s">
        <v>165</v>
      </c>
      <c r="C48" s="10" t="s">
        <v>465</v>
      </c>
      <c r="D48" s="10"/>
      <c r="E48" s="10"/>
      <c r="F48" s="10"/>
      <c r="G48" s="10"/>
      <c r="H48" s="10"/>
    </row>
    <row r="49" customFormat="false" ht="15" hidden="false" customHeight="true" outlineLevel="0" collapsed="false">
      <c r="A49" s="3"/>
      <c r="B49" s="3" t="s">
        <v>443</v>
      </c>
      <c r="C49" s="10"/>
      <c r="D49" s="10"/>
      <c r="E49" s="10"/>
      <c r="F49" s="10"/>
      <c r="G49" s="10"/>
      <c r="H49" s="10"/>
    </row>
    <row r="50" customFormat="false" ht="15" hidden="false" customHeight="true" outlineLevel="0" collapsed="false">
      <c r="A50" s="3"/>
      <c r="B50" s="3" t="s">
        <v>444</v>
      </c>
      <c r="C50" s="10" t="s">
        <v>466</v>
      </c>
      <c r="D50" s="10"/>
      <c r="E50" s="10"/>
      <c r="F50" s="10"/>
      <c r="G50" s="10"/>
      <c r="H50" s="10"/>
    </row>
    <row r="51" customFormat="false" ht="15" hidden="false" customHeight="true" outlineLevel="0" collapsed="false">
      <c r="A51" s="3"/>
      <c r="B51" s="3" t="s">
        <v>446</v>
      </c>
      <c r="C51" s="10" t="s">
        <v>467</v>
      </c>
      <c r="D51" s="10"/>
      <c r="E51" s="10"/>
      <c r="F51" s="10"/>
      <c r="G51" s="10"/>
      <c r="H51" s="10"/>
    </row>
    <row r="52" customFormat="false" ht="15" hidden="false" customHeight="true" outlineLevel="0" collapsed="false">
      <c r="A52" s="3"/>
      <c r="B52" s="3" t="s">
        <v>448</v>
      </c>
      <c r="C52" s="10" t="s">
        <v>468</v>
      </c>
      <c r="D52" s="10"/>
      <c r="E52" s="10"/>
      <c r="F52" s="10"/>
      <c r="G52" s="10"/>
      <c r="H52" s="10"/>
    </row>
    <row r="53" customFormat="false" ht="15" hidden="false" customHeight="true" outlineLevel="0" collapsed="false">
      <c r="A53" s="3"/>
      <c r="B53" s="3" t="s">
        <v>450</v>
      </c>
      <c r="C53" s="10" t="s">
        <v>475</v>
      </c>
      <c r="D53" s="10"/>
      <c r="E53" s="10"/>
      <c r="F53" s="10"/>
      <c r="G53" s="10"/>
      <c r="H53" s="10"/>
    </row>
    <row r="54" customFormat="false" ht="15" hidden="false" customHeight="true" outlineLevel="0" collapsed="false">
      <c r="A54" s="3"/>
      <c r="B54" s="3" t="s">
        <v>452</v>
      </c>
      <c r="C54" s="10" t="s">
        <v>476</v>
      </c>
      <c r="D54" s="10"/>
      <c r="E54" s="10"/>
      <c r="F54" s="10"/>
      <c r="G54" s="10"/>
      <c r="H54" s="10"/>
    </row>
    <row r="55" customFormat="false" ht="15" hidden="false" customHeight="true" outlineLevel="0" collapsed="false">
      <c r="A55" s="3"/>
      <c r="B55" s="3" t="s">
        <v>454</v>
      </c>
      <c r="C55" s="10"/>
      <c r="D55" s="10"/>
      <c r="E55" s="10"/>
      <c r="F55" s="10"/>
      <c r="G55" s="10"/>
      <c r="H55" s="10"/>
    </row>
    <row r="56" customFormat="false" ht="15" hidden="false" customHeight="true" outlineLevel="0" collapsed="false">
      <c r="A56" s="3"/>
      <c r="B56" s="3" t="s">
        <v>455</v>
      </c>
      <c r="C56" s="10"/>
      <c r="D56" s="10"/>
      <c r="E56" s="10"/>
      <c r="F56" s="10"/>
      <c r="G56" s="10"/>
      <c r="H56" s="10"/>
    </row>
    <row r="57" customFormat="false" ht="15" hidden="false" customHeight="true" outlineLevel="0" collapsed="false">
      <c r="A57" s="3"/>
      <c r="B57" s="3" t="s">
        <v>456</v>
      </c>
      <c r="C57" s="10" t="s">
        <v>477</v>
      </c>
      <c r="D57" s="10"/>
      <c r="E57" s="10"/>
      <c r="F57" s="10"/>
      <c r="G57" s="10"/>
      <c r="H57" s="10"/>
    </row>
    <row r="58" customFormat="false" ht="23.25" hidden="false" customHeight="true" outlineLevel="0" collapsed="false">
      <c r="A58" s="4" t="s">
        <v>325</v>
      </c>
      <c r="B58" s="12"/>
      <c r="C58" s="12"/>
      <c r="D58" s="12"/>
      <c r="E58" s="12"/>
      <c r="F58" s="12"/>
      <c r="G58" s="12"/>
      <c r="H58" s="12"/>
    </row>
    <row r="59" customFormat="false" ht="15" hidden="false" customHeight="true" outlineLevel="0" collapsed="false">
      <c r="A59" s="3"/>
      <c r="B59" s="3" t="s">
        <v>165</v>
      </c>
      <c r="C59" s="10" t="s">
        <v>458</v>
      </c>
      <c r="D59" s="10"/>
      <c r="E59" s="10"/>
      <c r="F59" s="10"/>
      <c r="G59" s="10"/>
      <c r="H59" s="10"/>
    </row>
    <row r="60" customFormat="false" ht="15" hidden="false" customHeight="true" outlineLevel="0" collapsed="false">
      <c r="A60" s="3"/>
      <c r="B60" s="3" t="s">
        <v>443</v>
      </c>
      <c r="C60" s="10"/>
      <c r="D60" s="10"/>
      <c r="E60" s="10"/>
      <c r="F60" s="10"/>
      <c r="G60" s="10"/>
      <c r="H60" s="10"/>
    </row>
    <row r="61" customFormat="false" ht="15" hidden="false" customHeight="true" outlineLevel="0" collapsed="false">
      <c r="A61" s="3"/>
      <c r="B61" s="3" t="s">
        <v>444</v>
      </c>
      <c r="C61" s="10" t="s">
        <v>466</v>
      </c>
      <c r="D61" s="10"/>
      <c r="E61" s="10"/>
      <c r="F61" s="10"/>
      <c r="G61" s="10"/>
      <c r="H61" s="10"/>
    </row>
    <row r="62" customFormat="false" ht="15" hidden="false" customHeight="true" outlineLevel="0" collapsed="false">
      <c r="A62" s="3"/>
      <c r="B62" s="3" t="s">
        <v>446</v>
      </c>
      <c r="C62" s="10" t="s">
        <v>478</v>
      </c>
      <c r="D62" s="10"/>
      <c r="E62" s="10"/>
      <c r="F62" s="10"/>
      <c r="G62" s="10"/>
      <c r="H62" s="10"/>
    </row>
    <row r="63" customFormat="false" ht="15" hidden="false" customHeight="true" outlineLevel="0" collapsed="false">
      <c r="A63" s="3"/>
      <c r="B63" s="3" t="s">
        <v>448</v>
      </c>
      <c r="C63" s="10" t="s">
        <v>468</v>
      </c>
      <c r="D63" s="10"/>
      <c r="E63" s="10"/>
      <c r="F63" s="10"/>
      <c r="G63" s="10"/>
      <c r="H63" s="10"/>
    </row>
    <row r="64" customFormat="false" ht="15" hidden="false" customHeight="true" outlineLevel="0" collapsed="false">
      <c r="A64" s="3"/>
      <c r="B64" s="3" t="s">
        <v>450</v>
      </c>
      <c r="C64" s="10" t="s">
        <v>479</v>
      </c>
      <c r="D64" s="10"/>
      <c r="E64" s="10"/>
      <c r="F64" s="10"/>
      <c r="G64" s="10"/>
      <c r="H64" s="10"/>
    </row>
    <row r="65" customFormat="false" ht="15" hidden="false" customHeight="true" outlineLevel="0" collapsed="false">
      <c r="A65" s="3"/>
      <c r="B65" s="3" t="s">
        <v>452</v>
      </c>
      <c r="C65" s="10" t="s">
        <v>480</v>
      </c>
      <c r="D65" s="10"/>
      <c r="E65" s="10"/>
      <c r="F65" s="10"/>
      <c r="G65" s="10"/>
      <c r="H65" s="10"/>
    </row>
    <row r="66" customFormat="false" ht="15" hidden="false" customHeight="true" outlineLevel="0" collapsed="false">
      <c r="A66" s="3"/>
      <c r="B66" s="3" t="s">
        <v>454</v>
      </c>
      <c r="C66" s="10"/>
      <c r="D66" s="10"/>
      <c r="E66" s="10"/>
      <c r="F66" s="10"/>
      <c r="G66" s="10"/>
      <c r="H66" s="10"/>
    </row>
    <row r="67" customFormat="false" ht="15" hidden="false" customHeight="true" outlineLevel="0" collapsed="false">
      <c r="A67" s="3"/>
      <c r="B67" s="3" t="s">
        <v>455</v>
      </c>
      <c r="C67" s="10"/>
      <c r="D67" s="10"/>
      <c r="E67" s="10"/>
      <c r="F67" s="10"/>
      <c r="G67" s="10"/>
      <c r="H67" s="10"/>
    </row>
    <row r="68" customFormat="false" ht="15" hidden="false" customHeight="true" outlineLevel="0" collapsed="false">
      <c r="A68" s="3"/>
      <c r="B68" s="3" t="s">
        <v>456</v>
      </c>
      <c r="C68" s="10" t="s">
        <v>481</v>
      </c>
      <c r="D68" s="10"/>
      <c r="E68" s="10"/>
      <c r="F68" s="10"/>
      <c r="G68" s="10"/>
      <c r="H68" s="10"/>
    </row>
    <row r="69" customFormat="false" ht="23.25" hidden="false" customHeight="true" outlineLevel="0" collapsed="false">
      <c r="A69" s="4" t="s">
        <v>338</v>
      </c>
      <c r="B69" s="12"/>
      <c r="C69" s="12"/>
      <c r="D69" s="12"/>
      <c r="E69" s="12"/>
      <c r="F69" s="12"/>
      <c r="G69" s="12"/>
      <c r="H69" s="12"/>
    </row>
    <row r="70" customFormat="false" ht="15" hidden="false" customHeight="true" outlineLevel="0" collapsed="false">
      <c r="A70" s="3"/>
      <c r="B70" s="3" t="s">
        <v>165</v>
      </c>
      <c r="C70" s="10" t="s">
        <v>440</v>
      </c>
      <c r="D70" s="10"/>
      <c r="E70" s="10"/>
      <c r="F70" s="10"/>
      <c r="G70" s="10"/>
      <c r="H70" s="10"/>
    </row>
    <row r="71" customFormat="false" ht="15" hidden="false" customHeight="true" outlineLevel="0" collapsed="false">
      <c r="A71" s="3"/>
      <c r="B71" s="3" t="s">
        <v>443</v>
      </c>
      <c r="C71" s="10"/>
      <c r="D71" s="10"/>
      <c r="E71" s="10"/>
      <c r="F71" s="10"/>
      <c r="G71" s="10"/>
      <c r="H71" s="10"/>
    </row>
    <row r="72" customFormat="false" ht="15" hidden="false" customHeight="true" outlineLevel="0" collapsed="false">
      <c r="A72" s="3"/>
      <c r="B72" s="3" t="s">
        <v>444</v>
      </c>
      <c r="C72" s="10" t="s">
        <v>482</v>
      </c>
      <c r="D72" s="10"/>
      <c r="E72" s="10"/>
      <c r="F72" s="10"/>
      <c r="G72" s="10"/>
      <c r="H72" s="10"/>
    </row>
    <row r="73" customFormat="false" ht="15" hidden="false" customHeight="true" outlineLevel="0" collapsed="false">
      <c r="A73" s="3"/>
      <c r="B73" s="3" t="s">
        <v>446</v>
      </c>
      <c r="C73" s="10" t="s">
        <v>483</v>
      </c>
      <c r="D73" s="10"/>
      <c r="E73" s="10"/>
      <c r="F73" s="10"/>
      <c r="G73" s="10"/>
      <c r="H73" s="10"/>
    </row>
    <row r="74" customFormat="false" ht="15" hidden="false" customHeight="true" outlineLevel="0" collapsed="false">
      <c r="A74" s="3"/>
      <c r="B74" s="3" t="s">
        <v>448</v>
      </c>
      <c r="C74" s="10" t="s">
        <v>461</v>
      </c>
      <c r="D74" s="10"/>
      <c r="E74" s="10"/>
      <c r="F74" s="10"/>
      <c r="G74" s="10"/>
      <c r="H74" s="10"/>
    </row>
    <row r="75" customFormat="false" ht="15" hidden="false" customHeight="true" outlineLevel="0" collapsed="false">
      <c r="A75" s="3"/>
      <c r="B75" s="3" t="s">
        <v>450</v>
      </c>
      <c r="C75" s="10" t="s">
        <v>484</v>
      </c>
      <c r="D75" s="10"/>
      <c r="E75" s="10"/>
      <c r="F75" s="10"/>
      <c r="G75" s="10"/>
      <c r="H75" s="10"/>
    </row>
    <row r="76" customFormat="false" ht="15" hidden="false" customHeight="true" outlineLevel="0" collapsed="false">
      <c r="A76" s="3"/>
      <c r="B76" s="3" t="s">
        <v>452</v>
      </c>
      <c r="C76" s="10" t="s">
        <v>485</v>
      </c>
      <c r="D76" s="10"/>
      <c r="E76" s="10"/>
      <c r="F76" s="10"/>
      <c r="G76" s="10"/>
      <c r="H76" s="10"/>
    </row>
    <row r="77" customFormat="false" ht="15" hidden="false" customHeight="true" outlineLevel="0" collapsed="false">
      <c r="A77" s="3"/>
      <c r="B77" s="3" t="s">
        <v>454</v>
      </c>
      <c r="C77" s="10"/>
      <c r="D77" s="10"/>
      <c r="E77" s="10"/>
      <c r="F77" s="10"/>
      <c r="G77" s="10"/>
      <c r="H77" s="10"/>
    </row>
    <row r="78" customFormat="false" ht="15" hidden="false" customHeight="true" outlineLevel="0" collapsed="false">
      <c r="A78" s="3"/>
      <c r="B78" s="3" t="s">
        <v>455</v>
      </c>
      <c r="C78" s="10"/>
      <c r="D78" s="10"/>
      <c r="E78" s="10"/>
      <c r="F78" s="10"/>
      <c r="G78" s="10"/>
      <c r="H78" s="10"/>
    </row>
    <row r="79" customFormat="false" ht="15" hidden="false" customHeight="true" outlineLevel="0" collapsed="false">
      <c r="A79" s="3"/>
      <c r="B79" s="3" t="s">
        <v>456</v>
      </c>
      <c r="C79" s="10" t="s">
        <v>486</v>
      </c>
      <c r="D79" s="10"/>
      <c r="E79" s="10"/>
      <c r="F79" s="10"/>
      <c r="G79" s="10"/>
      <c r="H79" s="10"/>
    </row>
    <row r="80" customFormat="false" ht="15" hidden="false" customHeight="true" outlineLevel="0" collapsed="false">
      <c r="A80" s="4" t="s">
        <v>350</v>
      </c>
      <c r="B80" s="12"/>
      <c r="C80" s="12"/>
      <c r="D80" s="12"/>
      <c r="E80" s="12"/>
      <c r="F80" s="12"/>
      <c r="G80" s="12"/>
      <c r="H80" s="12"/>
    </row>
    <row r="81" customFormat="false" ht="15" hidden="false" customHeight="true" outlineLevel="0" collapsed="false">
      <c r="A81" s="3"/>
      <c r="B81" s="3" t="s">
        <v>165</v>
      </c>
      <c r="C81" s="10" t="s">
        <v>465</v>
      </c>
      <c r="D81" s="10"/>
      <c r="E81" s="10"/>
      <c r="F81" s="10"/>
      <c r="G81" s="10"/>
      <c r="H81" s="10"/>
    </row>
    <row r="82" customFormat="false" ht="15" hidden="false" customHeight="true" outlineLevel="0" collapsed="false">
      <c r="A82" s="3"/>
      <c r="B82" s="3" t="s">
        <v>443</v>
      </c>
      <c r="C82" s="10"/>
      <c r="D82" s="10"/>
      <c r="E82" s="10"/>
      <c r="F82" s="10"/>
      <c r="G82" s="10"/>
      <c r="H82" s="10"/>
    </row>
    <row r="83" customFormat="false" ht="15" hidden="false" customHeight="true" outlineLevel="0" collapsed="false">
      <c r="A83" s="3"/>
      <c r="B83" s="3" t="s">
        <v>444</v>
      </c>
      <c r="C83" s="10" t="s">
        <v>466</v>
      </c>
      <c r="D83" s="10"/>
      <c r="E83" s="10"/>
      <c r="F83" s="10"/>
      <c r="G83" s="10"/>
      <c r="H83" s="10"/>
    </row>
    <row r="84" customFormat="false" ht="15" hidden="false" customHeight="true" outlineLevel="0" collapsed="false">
      <c r="A84" s="3"/>
      <c r="B84" s="3" t="s">
        <v>446</v>
      </c>
      <c r="C84" s="10" t="s">
        <v>460</v>
      </c>
      <c r="D84" s="10"/>
      <c r="E84" s="10"/>
      <c r="F84" s="10"/>
      <c r="G84" s="10"/>
      <c r="H84" s="10"/>
    </row>
    <row r="85" customFormat="false" ht="15" hidden="false" customHeight="true" outlineLevel="0" collapsed="false">
      <c r="A85" s="3"/>
      <c r="B85" s="3" t="s">
        <v>448</v>
      </c>
      <c r="C85" s="10" t="s">
        <v>468</v>
      </c>
      <c r="D85" s="10"/>
      <c r="E85" s="10"/>
      <c r="F85" s="10"/>
      <c r="G85" s="10"/>
      <c r="H85" s="10"/>
    </row>
    <row r="86" customFormat="false" ht="15" hidden="false" customHeight="true" outlineLevel="0" collapsed="false">
      <c r="A86" s="3"/>
      <c r="B86" s="3" t="s">
        <v>450</v>
      </c>
      <c r="C86" s="10" t="s">
        <v>487</v>
      </c>
      <c r="D86" s="10"/>
      <c r="E86" s="10"/>
      <c r="F86" s="10"/>
      <c r="G86" s="10"/>
      <c r="H86" s="10"/>
    </row>
    <row r="87" customFormat="false" ht="15" hidden="false" customHeight="true" outlineLevel="0" collapsed="false">
      <c r="A87" s="3"/>
      <c r="B87" s="3" t="s">
        <v>452</v>
      </c>
      <c r="C87" s="10" t="s">
        <v>488</v>
      </c>
      <c r="D87" s="10"/>
      <c r="E87" s="10"/>
      <c r="F87" s="10"/>
      <c r="G87" s="10"/>
      <c r="H87" s="10"/>
    </row>
    <row r="88" customFormat="false" ht="15" hidden="false" customHeight="true" outlineLevel="0" collapsed="false">
      <c r="A88" s="3"/>
      <c r="B88" s="3" t="s">
        <v>454</v>
      </c>
      <c r="C88" s="10"/>
      <c r="D88" s="10"/>
      <c r="E88" s="10"/>
      <c r="F88" s="10"/>
      <c r="G88" s="10"/>
      <c r="H88" s="10"/>
    </row>
    <row r="89" customFormat="false" ht="15" hidden="false" customHeight="true" outlineLevel="0" collapsed="false">
      <c r="A89" s="3"/>
      <c r="B89" s="3" t="s">
        <v>455</v>
      </c>
      <c r="C89" s="10"/>
      <c r="D89" s="10"/>
      <c r="E89" s="10"/>
      <c r="F89" s="10"/>
      <c r="G89" s="10"/>
      <c r="H89" s="10"/>
    </row>
    <row r="90" customFormat="false" ht="15" hidden="false" customHeight="true" outlineLevel="0" collapsed="false">
      <c r="A90" s="3"/>
      <c r="B90" s="3" t="s">
        <v>456</v>
      </c>
      <c r="C90" s="10" t="s">
        <v>489</v>
      </c>
      <c r="D90" s="10"/>
      <c r="E90" s="10"/>
      <c r="F90" s="10"/>
      <c r="G90" s="10"/>
      <c r="H90" s="10"/>
    </row>
    <row r="91" customFormat="false" ht="23.25" hidden="false" customHeight="true" outlineLevel="0" collapsed="false">
      <c r="A91" s="4" t="s">
        <v>362</v>
      </c>
      <c r="B91" s="12"/>
      <c r="C91" s="12"/>
      <c r="D91" s="12"/>
      <c r="E91" s="12"/>
      <c r="F91" s="12"/>
      <c r="G91" s="12"/>
      <c r="H91" s="12"/>
    </row>
    <row r="92" customFormat="false" ht="15" hidden="false" customHeight="true" outlineLevel="0" collapsed="false">
      <c r="A92" s="3"/>
      <c r="B92" s="3" t="s">
        <v>165</v>
      </c>
      <c r="C92" s="10" t="s">
        <v>490</v>
      </c>
      <c r="D92" s="10"/>
      <c r="E92" s="10" t="s">
        <v>237</v>
      </c>
      <c r="F92" s="10"/>
      <c r="G92" s="10"/>
      <c r="H92" s="10" t="s">
        <v>491</v>
      </c>
    </row>
    <row r="93" customFormat="false" ht="15" hidden="false" customHeight="true" outlineLevel="0" collapsed="false">
      <c r="A93" s="3"/>
      <c r="B93" s="3" t="s">
        <v>443</v>
      </c>
      <c r="C93" s="10"/>
      <c r="D93" s="10"/>
      <c r="E93" s="10"/>
      <c r="F93" s="10"/>
      <c r="G93" s="10"/>
      <c r="H93" s="10"/>
    </row>
    <row r="94" customFormat="false" ht="15" hidden="false" customHeight="true" outlineLevel="0" collapsed="false">
      <c r="A94" s="3"/>
      <c r="B94" s="3" t="s">
        <v>444</v>
      </c>
      <c r="C94" s="10"/>
      <c r="D94" s="10"/>
      <c r="E94" s="10"/>
      <c r="F94" s="10"/>
      <c r="G94" s="10"/>
      <c r="H94" s="10"/>
    </row>
    <row r="95" customFormat="false" ht="15" hidden="false" customHeight="true" outlineLevel="0" collapsed="false">
      <c r="A95" s="3"/>
      <c r="B95" s="3" t="s">
        <v>446</v>
      </c>
      <c r="C95" s="10"/>
      <c r="D95" s="10"/>
      <c r="E95" s="10"/>
      <c r="F95" s="10"/>
      <c r="G95" s="10"/>
      <c r="H95" s="10"/>
    </row>
    <row r="96" customFormat="false" ht="15" hidden="false" customHeight="true" outlineLevel="0" collapsed="false">
      <c r="A96" s="3"/>
      <c r="B96" s="3" t="s">
        <v>448</v>
      </c>
      <c r="C96" s="10"/>
      <c r="D96" s="10"/>
      <c r="E96" s="10"/>
      <c r="F96" s="10"/>
      <c r="G96" s="10"/>
      <c r="H96" s="10"/>
    </row>
    <row r="97" customFormat="false" ht="15" hidden="false" customHeight="true" outlineLevel="0" collapsed="false">
      <c r="A97" s="3"/>
      <c r="B97" s="3" t="s">
        <v>450</v>
      </c>
      <c r="C97" s="10"/>
      <c r="D97" s="10"/>
      <c r="E97" s="10"/>
      <c r="F97" s="10"/>
      <c r="G97" s="10"/>
      <c r="H97" s="10"/>
    </row>
    <row r="98" customFormat="false" ht="15" hidden="false" customHeight="true" outlineLevel="0" collapsed="false">
      <c r="A98" s="3"/>
      <c r="B98" s="3" t="s">
        <v>452</v>
      </c>
      <c r="C98" s="10"/>
      <c r="D98" s="10"/>
      <c r="E98" s="10"/>
      <c r="F98" s="10"/>
      <c r="G98" s="10"/>
      <c r="H98" s="10"/>
    </row>
    <row r="99" customFormat="false" ht="15" hidden="false" customHeight="true" outlineLevel="0" collapsed="false">
      <c r="A99" s="3"/>
      <c r="B99" s="3" t="s">
        <v>454</v>
      </c>
      <c r="C99" s="10"/>
      <c r="D99" s="10"/>
      <c r="E99" s="10"/>
      <c r="F99" s="10"/>
      <c r="G99" s="10"/>
      <c r="H99" s="10"/>
    </row>
    <row r="100" customFormat="false" ht="15" hidden="false" customHeight="true" outlineLevel="0" collapsed="false">
      <c r="A100" s="3"/>
      <c r="B100" s="3" t="s">
        <v>455</v>
      </c>
      <c r="C100" s="10"/>
      <c r="D100" s="10"/>
      <c r="E100" s="10"/>
      <c r="F100" s="10"/>
      <c r="G100" s="10"/>
      <c r="H100" s="10"/>
    </row>
    <row r="101" customFormat="false" ht="15" hidden="false" customHeight="true" outlineLevel="0" collapsed="false">
      <c r="A101" s="3"/>
      <c r="B101" s="3" t="s">
        <v>456</v>
      </c>
      <c r="C101" s="10"/>
      <c r="D101" s="10"/>
      <c r="E101" s="10"/>
      <c r="F101" s="10"/>
      <c r="G101" s="10"/>
      <c r="H101" s="10"/>
    </row>
    <row r="102" customFormat="false" ht="23.25" hidden="false" customHeight="true" outlineLevel="0" collapsed="false">
      <c r="A102" s="4" t="s">
        <v>378</v>
      </c>
      <c r="B102" s="12"/>
      <c r="C102" s="12"/>
      <c r="D102" s="12"/>
      <c r="E102" s="12"/>
      <c r="F102" s="12"/>
      <c r="G102" s="12"/>
      <c r="H102" s="12"/>
    </row>
    <row r="103" customFormat="false" ht="15" hidden="false" customHeight="true" outlineLevel="0" collapsed="false">
      <c r="A103" s="3"/>
      <c r="B103" s="3" t="s">
        <v>165</v>
      </c>
      <c r="C103" s="10" t="s">
        <v>440</v>
      </c>
      <c r="D103" s="10"/>
      <c r="E103" s="10"/>
      <c r="F103" s="10"/>
      <c r="G103" s="10"/>
      <c r="H103" s="10"/>
    </row>
    <row r="104" customFormat="false" ht="15" hidden="false" customHeight="true" outlineLevel="0" collapsed="false">
      <c r="A104" s="3"/>
      <c r="B104" s="3" t="s">
        <v>443</v>
      </c>
      <c r="C104" s="10"/>
      <c r="D104" s="10"/>
      <c r="E104" s="10"/>
      <c r="F104" s="10"/>
      <c r="G104" s="10"/>
      <c r="H104" s="10"/>
    </row>
    <row r="105" customFormat="false" ht="15" hidden="false" customHeight="true" outlineLevel="0" collapsed="false">
      <c r="A105" s="3"/>
      <c r="B105" s="3" t="s">
        <v>444</v>
      </c>
      <c r="C105" s="10" t="s">
        <v>492</v>
      </c>
      <c r="D105" s="10"/>
      <c r="E105" s="10"/>
      <c r="F105" s="10"/>
      <c r="G105" s="10"/>
      <c r="H105" s="10"/>
    </row>
    <row r="106" customFormat="false" ht="15" hidden="false" customHeight="true" outlineLevel="0" collapsed="false">
      <c r="A106" s="3"/>
      <c r="B106" s="3" t="s">
        <v>446</v>
      </c>
      <c r="C106" s="10" t="s">
        <v>493</v>
      </c>
      <c r="D106" s="10"/>
      <c r="E106" s="10"/>
      <c r="F106" s="10"/>
      <c r="G106" s="10"/>
      <c r="H106" s="10"/>
    </row>
    <row r="107" customFormat="false" ht="15" hidden="false" customHeight="true" outlineLevel="0" collapsed="false">
      <c r="A107" s="3"/>
      <c r="B107" s="3" t="s">
        <v>448</v>
      </c>
      <c r="C107" s="10" t="s">
        <v>461</v>
      </c>
      <c r="D107" s="10"/>
      <c r="E107" s="10"/>
      <c r="F107" s="10"/>
      <c r="G107" s="10"/>
      <c r="H107" s="10"/>
    </row>
    <row r="108" customFormat="false" ht="15" hidden="false" customHeight="true" outlineLevel="0" collapsed="false">
      <c r="A108" s="3"/>
      <c r="B108" s="3" t="s">
        <v>450</v>
      </c>
      <c r="C108" s="10" t="s">
        <v>494</v>
      </c>
      <c r="D108" s="10"/>
      <c r="E108" s="10"/>
      <c r="F108" s="10"/>
      <c r="G108" s="10"/>
      <c r="H108" s="10"/>
    </row>
    <row r="109" customFormat="false" ht="15" hidden="false" customHeight="true" outlineLevel="0" collapsed="false">
      <c r="A109" s="3"/>
      <c r="B109" s="3" t="s">
        <v>452</v>
      </c>
      <c r="C109" s="10" t="s">
        <v>495</v>
      </c>
      <c r="D109" s="10"/>
      <c r="E109" s="10"/>
      <c r="F109" s="10"/>
      <c r="G109" s="10"/>
      <c r="H109" s="10"/>
    </row>
    <row r="110" customFormat="false" ht="15" hidden="false" customHeight="true" outlineLevel="0" collapsed="false">
      <c r="A110" s="3"/>
      <c r="B110" s="3" t="s">
        <v>454</v>
      </c>
      <c r="C110" s="10"/>
      <c r="D110" s="10"/>
      <c r="E110" s="10"/>
      <c r="F110" s="10"/>
      <c r="G110" s="10"/>
      <c r="H110" s="10"/>
    </row>
    <row r="111" customFormat="false" ht="15" hidden="false" customHeight="true" outlineLevel="0" collapsed="false">
      <c r="A111" s="3"/>
      <c r="B111" s="3" t="s">
        <v>455</v>
      </c>
      <c r="C111" s="10"/>
      <c r="D111" s="10"/>
      <c r="E111" s="10"/>
      <c r="F111" s="10"/>
      <c r="G111" s="10"/>
      <c r="H111" s="10"/>
    </row>
    <row r="112" customFormat="false" ht="15" hidden="false" customHeight="true" outlineLevel="0" collapsed="false">
      <c r="A112" s="3"/>
      <c r="B112" s="3" t="s">
        <v>456</v>
      </c>
      <c r="C112" s="10" t="s">
        <v>496</v>
      </c>
      <c r="D112" s="10"/>
      <c r="E112" s="10"/>
      <c r="F112" s="10"/>
      <c r="G112" s="10"/>
      <c r="H112" s="10"/>
    </row>
    <row r="113" customFormat="false" ht="23.25" hidden="false" customHeight="true" outlineLevel="0" collapsed="false">
      <c r="A113" s="4" t="s">
        <v>390</v>
      </c>
      <c r="B113" s="12"/>
      <c r="C113" s="12"/>
      <c r="D113" s="12"/>
      <c r="E113" s="12"/>
      <c r="F113" s="12"/>
      <c r="G113" s="12"/>
      <c r="H113" s="12"/>
    </row>
    <row r="114" customFormat="false" ht="15" hidden="false" customHeight="true" outlineLevel="0" collapsed="false">
      <c r="A114" s="3"/>
      <c r="B114" s="3" t="s">
        <v>165</v>
      </c>
      <c r="C114" s="10" t="s">
        <v>458</v>
      </c>
      <c r="D114" s="10"/>
      <c r="E114" s="10"/>
      <c r="F114" s="10"/>
      <c r="G114" s="10"/>
      <c r="H114" s="10"/>
    </row>
    <row r="115" customFormat="false" ht="15" hidden="false" customHeight="true" outlineLevel="0" collapsed="false">
      <c r="A115" s="3"/>
      <c r="B115" s="3" t="s">
        <v>443</v>
      </c>
      <c r="C115" s="10"/>
      <c r="D115" s="10"/>
      <c r="E115" s="10"/>
      <c r="F115" s="10"/>
      <c r="G115" s="10"/>
      <c r="H115" s="10"/>
    </row>
    <row r="116" customFormat="false" ht="15" hidden="false" customHeight="true" outlineLevel="0" collapsed="false">
      <c r="A116" s="3"/>
      <c r="B116" s="3" t="s">
        <v>444</v>
      </c>
      <c r="C116" s="10" t="s">
        <v>466</v>
      </c>
      <c r="D116" s="10"/>
      <c r="E116" s="10"/>
      <c r="F116" s="10"/>
      <c r="G116" s="10"/>
      <c r="H116" s="10"/>
    </row>
    <row r="117" customFormat="false" ht="15" hidden="false" customHeight="true" outlineLevel="0" collapsed="false">
      <c r="A117" s="3"/>
      <c r="B117" s="3" t="s">
        <v>446</v>
      </c>
      <c r="C117" s="10" t="s">
        <v>493</v>
      </c>
      <c r="D117" s="10"/>
      <c r="E117" s="10"/>
      <c r="F117" s="10"/>
      <c r="G117" s="10"/>
      <c r="H117" s="10"/>
    </row>
    <row r="118" customFormat="false" ht="15" hidden="false" customHeight="true" outlineLevel="0" collapsed="false">
      <c r="A118" s="3"/>
      <c r="B118" s="3" t="s">
        <v>448</v>
      </c>
      <c r="C118" s="10" t="s">
        <v>497</v>
      </c>
      <c r="D118" s="10"/>
      <c r="E118" s="10"/>
      <c r="F118" s="10"/>
      <c r="G118" s="10"/>
      <c r="H118" s="10"/>
    </row>
    <row r="119" customFormat="false" ht="15" hidden="false" customHeight="true" outlineLevel="0" collapsed="false">
      <c r="A119" s="3"/>
      <c r="B119" s="3" t="s">
        <v>450</v>
      </c>
      <c r="C119" s="10" t="s">
        <v>498</v>
      </c>
      <c r="D119" s="10"/>
      <c r="E119" s="10"/>
      <c r="F119" s="10"/>
      <c r="G119" s="10"/>
      <c r="H119" s="10"/>
    </row>
    <row r="120" customFormat="false" ht="15" hidden="false" customHeight="true" outlineLevel="0" collapsed="false">
      <c r="A120" s="3"/>
      <c r="B120" s="3" t="s">
        <v>452</v>
      </c>
      <c r="C120" s="10" t="s">
        <v>499</v>
      </c>
      <c r="D120" s="10"/>
      <c r="E120" s="10"/>
      <c r="F120" s="10"/>
      <c r="G120" s="10"/>
      <c r="H120" s="10"/>
    </row>
    <row r="121" customFormat="false" ht="15" hidden="false" customHeight="true" outlineLevel="0" collapsed="false">
      <c r="A121" s="3"/>
      <c r="B121" s="3" t="s">
        <v>454</v>
      </c>
      <c r="C121" s="10"/>
      <c r="D121" s="10"/>
      <c r="E121" s="10"/>
      <c r="F121" s="10"/>
      <c r="G121" s="10"/>
      <c r="H121" s="10"/>
    </row>
    <row r="122" customFormat="false" ht="15" hidden="false" customHeight="true" outlineLevel="0" collapsed="false">
      <c r="A122" s="3"/>
      <c r="B122" s="3" t="s">
        <v>455</v>
      </c>
      <c r="C122" s="10"/>
      <c r="D122" s="10"/>
      <c r="E122" s="10"/>
      <c r="F122" s="10"/>
      <c r="G122" s="10"/>
      <c r="H122" s="10"/>
    </row>
    <row r="123" customFormat="false" ht="15" hidden="false" customHeight="true" outlineLevel="0" collapsed="false">
      <c r="A123" s="3"/>
      <c r="B123" s="3" t="s">
        <v>456</v>
      </c>
      <c r="C123" s="10" t="s">
        <v>496</v>
      </c>
      <c r="D123" s="10"/>
      <c r="E123" s="10"/>
      <c r="F123" s="10"/>
      <c r="G123" s="10"/>
      <c r="H123" s="10"/>
    </row>
    <row r="124" customFormat="false" ht="23.25" hidden="false" customHeight="true" outlineLevel="0" collapsed="false">
      <c r="A124" s="4" t="s">
        <v>402</v>
      </c>
      <c r="B124" s="12"/>
      <c r="C124" s="12"/>
      <c r="D124" s="12"/>
      <c r="E124" s="12"/>
      <c r="F124" s="12"/>
      <c r="G124" s="12"/>
      <c r="H124" s="12"/>
    </row>
    <row r="125" customFormat="false" ht="15" hidden="false" customHeight="true" outlineLevel="0" collapsed="false">
      <c r="A125" s="3"/>
      <c r="B125" s="3" t="s">
        <v>165</v>
      </c>
      <c r="C125" s="10" t="s">
        <v>458</v>
      </c>
      <c r="D125" s="10"/>
      <c r="E125" s="10"/>
      <c r="F125" s="10"/>
      <c r="G125" s="10"/>
      <c r="H125" s="10"/>
    </row>
    <row r="126" customFormat="false" ht="15" hidden="false" customHeight="true" outlineLevel="0" collapsed="false">
      <c r="A126" s="3"/>
      <c r="B126" s="3" t="s">
        <v>443</v>
      </c>
      <c r="C126" s="10"/>
      <c r="D126" s="10"/>
      <c r="E126" s="10"/>
      <c r="F126" s="10"/>
      <c r="G126" s="10"/>
      <c r="H126" s="10"/>
    </row>
    <row r="127" customFormat="false" ht="15" hidden="false" customHeight="true" outlineLevel="0" collapsed="false">
      <c r="A127" s="3"/>
      <c r="B127" s="3" t="s">
        <v>444</v>
      </c>
      <c r="C127" s="10" t="s">
        <v>466</v>
      </c>
      <c r="D127" s="10"/>
      <c r="E127" s="10"/>
      <c r="F127" s="10"/>
      <c r="G127" s="10"/>
      <c r="H127" s="10"/>
    </row>
    <row r="128" customFormat="false" ht="15" hidden="false" customHeight="true" outlineLevel="0" collapsed="false">
      <c r="A128" s="3"/>
      <c r="B128" s="3" t="s">
        <v>446</v>
      </c>
      <c r="C128" s="10" t="s">
        <v>483</v>
      </c>
      <c r="D128" s="10"/>
      <c r="E128" s="10"/>
      <c r="F128" s="10"/>
      <c r="G128" s="10"/>
      <c r="H128" s="10"/>
    </row>
    <row r="129" customFormat="false" ht="15" hidden="false" customHeight="true" outlineLevel="0" collapsed="false">
      <c r="A129" s="3"/>
      <c r="B129" s="3" t="s">
        <v>448</v>
      </c>
      <c r="C129" s="10" t="s">
        <v>468</v>
      </c>
      <c r="D129" s="10"/>
      <c r="E129" s="10"/>
      <c r="F129" s="10"/>
      <c r="G129" s="10"/>
      <c r="H129" s="10"/>
    </row>
    <row r="130" customFormat="false" ht="15" hidden="false" customHeight="true" outlineLevel="0" collapsed="false">
      <c r="A130" s="3"/>
      <c r="B130" s="3" t="s">
        <v>450</v>
      </c>
      <c r="C130" s="10" t="s">
        <v>500</v>
      </c>
      <c r="D130" s="10"/>
      <c r="E130" s="10"/>
      <c r="F130" s="10"/>
      <c r="G130" s="10"/>
      <c r="H130" s="10"/>
    </row>
    <row r="131" customFormat="false" ht="15" hidden="false" customHeight="true" outlineLevel="0" collapsed="false">
      <c r="A131" s="3"/>
      <c r="B131" s="3" t="s">
        <v>452</v>
      </c>
      <c r="C131" s="10" t="s">
        <v>501</v>
      </c>
      <c r="D131" s="10"/>
      <c r="E131" s="10"/>
      <c r="F131" s="10"/>
      <c r="G131" s="10"/>
      <c r="H131" s="10"/>
    </row>
    <row r="132" customFormat="false" ht="15" hidden="false" customHeight="true" outlineLevel="0" collapsed="false">
      <c r="A132" s="3"/>
      <c r="B132" s="3" t="s">
        <v>454</v>
      </c>
      <c r="C132" s="10"/>
      <c r="D132" s="10"/>
      <c r="E132" s="10"/>
      <c r="F132" s="10"/>
      <c r="G132" s="10"/>
      <c r="H132" s="10"/>
    </row>
    <row r="133" customFormat="false" ht="15" hidden="false" customHeight="true" outlineLevel="0" collapsed="false">
      <c r="A133" s="3"/>
      <c r="B133" s="3" t="s">
        <v>455</v>
      </c>
      <c r="C133" s="10"/>
      <c r="D133" s="10"/>
      <c r="E133" s="10"/>
      <c r="F133" s="10"/>
      <c r="G133" s="10"/>
      <c r="H133" s="10"/>
    </row>
    <row r="134" customFormat="false" ht="15" hidden="false" customHeight="true" outlineLevel="0" collapsed="false">
      <c r="A134" s="3"/>
      <c r="B134" s="3" t="s">
        <v>456</v>
      </c>
      <c r="C134" s="10" t="s">
        <v>502</v>
      </c>
      <c r="D134" s="10"/>
      <c r="E134" s="10"/>
      <c r="F134" s="10"/>
      <c r="G134" s="10"/>
      <c r="H134" s="10"/>
    </row>
    <row r="136" customFormat="false" ht="15" hidden="false" customHeight="true" outlineLevel="0" collapsed="false">
      <c r="B136" s="6" t="s">
        <v>503</v>
      </c>
      <c r="C136" s="6"/>
      <c r="D136" s="6"/>
      <c r="E136" s="6"/>
      <c r="F136" s="6"/>
      <c r="G136" s="6"/>
      <c r="H136" s="6"/>
    </row>
  </sheetData>
  <mergeCells count="1">
    <mergeCell ref="B136:H136"/>
  </mergeCells>
  <dataValidations count="2">
    <dataValidation allowBlank="true" errorStyle="stop" operator="between" showDropDown="false" showErrorMessage="false" showInputMessage="false" sqref="E3:E134" type="list">
      <formula1>"Y,N,—"</formula1>
      <formula2>0</formula2>
    </dataValidation>
    <dataValidation allowBlank="true" errorStyle="stop" operator="between" showDropDown="false" showErrorMessage="false" showInputMessage="false" sqref="F3:F134" type="list">
      <formula1>"S1 — Critical,S2 — Major,S3 — Minor,S4 — Trivial"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8"/>
    <col collapsed="false" customWidth="true" hidden="false" outlineLevel="0" max="3" min="3" style="1" width="22"/>
    <col collapsed="false" customWidth="true" hidden="false" outlineLevel="0" max="4" min="4" style="1" width="13"/>
    <col collapsed="false" customWidth="true" hidden="false" outlineLevel="0" max="5" min="5" style="1" width="34"/>
  </cols>
  <sheetData>
    <row r="1" customFormat="false" ht="26.25" hidden="false" customHeight="true" outlineLevel="0" collapsed="false">
      <c r="A1" s="9" t="s">
        <v>41</v>
      </c>
      <c r="B1" s="9" t="s">
        <v>504</v>
      </c>
      <c r="C1" s="9" t="s">
        <v>505</v>
      </c>
      <c r="D1" s="9" t="s">
        <v>506</v>
      </c>
      <c r="E1" s="9" t="s">
        <v>174</v>
      </c>
    </row>
    <row r="2" customFormat="false" ht="15" hidden="false" customHeight="true" outlineLevel="0" collapsed="false">
      <c r="A2" s="6" t="s">
        <v>233</v>
      </c>
      <c r="B2" s="6" t="s">
        <v>507</v>
      </c>
      <c r="C2" s="6" t="s">
        <v>508</v>
      </c>
      <c r="D2" s="6" t="s">
        <v>237</v>
      </c>
      <c r="E2" s="6" t="s">
        <v>509</v>
      </c>
    </row>
    <row r="3" customFormat="false" ht="15" hidden="false" customHeight="true" outlineLevel="0" collapsed="false">
      <c r="A3" s="4" t="s">
        <v>239</v>
      </c>
      <c r="B3" s="12"/>
      <c r="C3" s="12"/>
      <c r="D3" s="12"/>
      <c r="E3" s="12"/>
    </row>
    <row r="4" customFormat="false" ht="15" hidden="false" customHeight="true" outlineLevel="0" collapsed="false">
      <c r="A4" s="3"/>
      <c r="B4" s="3" t="s">
        <v>507</v>
      </c>
      <c r="C4" s="10" t="s">
        <v>510</v>
      </c>
      <c r="D4" s="10" t="s">
        <v>237</v>
      </c>
      <c r="E4" s="10" t="s">
        <v>511</v>
      </c>
    </row>
    <row r="5" customFormat="false" ht="15" hidden="false" customHeight="true" outlineLevel="0" collapsed="false">
      <c r="A5" s="3"/>
      <c r="B5" s="3" t="s">
        <v>512</v>
      </c>
      <c r="C5" s="10" t="s">
        <v>513</v>
      </c>
      <c r="D5" s="10"/>
      <c r="E5" s="10"/>
    </row>
    <row r="6" customFormat="false" ht="15" hidden="false" customHeight="true" outlineLevel="0" collapsed="false">
      <c r="A6" s="3"/>
      <c r="B6" s="3" t="s">
        <v>514</v>
      </c>
      <c r="C6" s="10" t="s">
        <v>515</v>
      </c>
      <c r="D6" s="10"/>
      <c r="E6" s="10"/>
    </row>
    <row r="7" customFormat="false" ht="23.25" hidden="false" customHeight="true" outlineLevel="0" collapsed="false">
      <c r="A7" s="3"/>
      <c r="B7" s="3" t="s">
        <v>516</v>
      </c>
      <c r="C7" s="10"/>
      <c r="D7" s="10"/>
      <c r="E7" s="10"/>
    </row>
    <row r="8" customFormat="false" ht="15" hidden="false" customHeight="true" outlineLevel="0" collapsed="false">
      <c r="A8" s="3"/>
      <c r="B8" s="3" t="s">
        <v>517</v>
      </c>
      <c r="C8" s="10" t="s">
        <v>518</v>
      </c>
      <c r="D8" s="10"/>
      <c r="E8" s="10"/>
    </row>
    <row r="9" customFormat="false" ht="23.25" hidden="false" customHeight="true" outlineLevel="0" collapsed="false">
      <c r="A9" s="3"/>
      <c r="B9" s="3" t="s">
        <v>519</v>
      </c>
      <c r="C9" s="10"/>
      <c r="D9" s="10"/>
      <c r="E9" s="10"/>
    </row>
    <row r="10" customFormat="false" ht="15" hidden="false" customHeight="true" outlineLevel="0" collapsed="false">
      <c r="A10" s="3"/>
      <c r="B10" s="3" t="s">
        <v>520</v>
      </c>
      <c r="C10" s="10" t="s">
        <v>521</v>
      </c>
      <c r="D10" s="10"/>
      <c r="E10" s="10"/>
    </row>
    <row r="11" customFormat="false" ht="15" hidden="false" customHeight="true" outlineLevel="0" collapsed="false">
      <c r="A11" s="3"/>
      <c r="B11" s="3" t="s">
        <v>522</v>
      </c>
      <c r="C11" s="10" t="s">
        <v>523</v>
      </c>
      <c r="D11" s="10" t="s">
        <v>237</v>
      </c>
      <c r="E11" s="10"/>
    </row>
    <row r="12" customFormat="false" ht="15" hidden="false" customHeight="true" outlineLevel="0" collapsed="false">
      <c r="A12" s="3"/>
      <c r="B12" s="3" t="s">
        <v>524</v>
      </c>
      <c r="C12" s="10"/>
      <c r="D12" s="10"/>
      <c r="E12" s="10"/>
    </row>
    <row r="13" customFormat="false" ht="15" hidden="false" customHeight="true" outlineLevel="0" collapsed="false">
      <c r="A13" s="3"/>
      <c r="B13" s="3" t="s">
        <v>525</v>
      </c>
      <c r="C13" s="10"/>
      <c r="D13" s="10"/>
      <c r="E13" s="10"/>
    </row>
    <row r="14" customFormat="false" ht="15" hidden="false" customHeight="true" outlineLevel="0" collapsed="false">
      <c r="A14" s="3"/>
      <c r="B14" s="3" t="s">
        <v>526</v>
      </c>
      <c r="C14" s="10" t="s">
        <v>527</v>
      </c>
      <c r="D14" s="10" t="s">
        <v>237</v>
      </c>
      <c r="E14" s="10" t="s">
        <v>528</v>
      </c>
    </row>
    <row r="15" customFormat="false" ht="23.25" hidden="false" customHeight="true" outlineLevel="0" collapsed="false">
      <c r="A15" s="4" t="s">
        <v>270</v>
      </c>
      <c r="B15" s="12"/>
      <c r="C15" s="12"/>
      <c r="D15" s="12"/>
      <c r="E15" s="12"/>
    </row>
    <row r="16" customFormat="false" ht="15" hidden="false" customHeight="true" outlineLevel="0" collapsed="false">
      <c r="A16" s="3"/>
      <c r="B16" s="3" t="s">
        <v>507</v>
      </c>
      <c r="C16" s="10" t="s">
        <v>529</v>
      </c>
      <c r="D16" s="10" t="s">
        <v>237</v>
      </c>
      <c r="E16" s="10" t="s">
        <v>511</v>
      </c>
    </row>
    <row r="17" customFormat="false" ht="15" hidden="false" customHeight="true" outlineLevel="0" collapsed="false">
      <c r="A17" s="3"/>
      <c r="B17" s="3" t="s">
        <v>512</v>
      </c>
      <c r="C17" s="10" t="s">
        <v>530</v>
      </c>
      <c r="D17" s="10"/>
      <c r="E17" s="10"/>
    </row>
    <row r="18" customFormat="false" ht="15" hidden="false" customHeight="true" outlineLevel="0" collapsed="false">
      <c r="A18" s="3"/>
      <c r="B18" s="3" t="s">
        <v>514</v>
      </c>
      <c r="C18" s="10" t="s">
        <v>531</v>
      </c>
      <c r="D18" s="10"/>
      <c r="E18" s="10"/>
    </row>
    <row r="19" customFormat="false" ht="23.25" hidden="false" customHeight="true" outlineLevel="0" collapsed="false">
      <c r="A19" s="3"/>
      <c r="B19" s="3" t="s">
        <v>516</v>
      </c>
      <c r="C19" s="10"/>
      <c r="D19" s="10"/>
      <c r="E19" s="10"/>
    </row>
    <row r="20" customFormat="false" ht="15" hidden="false" customHeight="true" outlineLevel="0" collapsed="false">
      <c r="A20" s="3"/>
      <c r="B20" s="3" t="s">
        <v>517</v>
      </c>
      <c r="C20" s="10" t="s">
        <v>532</v>
      </c>
      <c r="D20" s="10"/>
      <c r="E20" s="10"/>
    </row>
    <row r="21" customFormat="false" ht="23.25" hidden="false" customHeight="true" outlineLevel="0" collapsed="false">
      <c r="A21" s="3"/>
      <c r="B21" s="3" t="s">
        <v>519</v>
      </c>
      <c r="C21" s="10"/>
      <c r="D21" s="10"/>
      <c r="E21" s="10"/>
    </row>
    <row r="22" customFormat="false" ht="15" hidden="false" customHeight="true" outlineLevel="0" collapsed="false">
      <c r="A22" s="3"/>
      <c r="B22" s="3" t="s">
        <v>520</v>
      </c>
      <c r="C22" s="10" t="s">
        <v>533</v>
      </c>
      <c r="D22" s="10"/>
      <c r="E22" s="10"/>
    </row>
    <row r="23" customFormat="false" ht="15" hidden="false" customHeight="true" outlineLevel="0" collapsed="false">
      <c r="A23" s="3"/>
      <c r="B23" s="3" t="s">
        <v>522</v>
      </c>
      <c r="C23" s="10" t="s">
        <v>523</v>
      </c>
      <c r="D23" s="10" t="s">
        <v>237</v>
      </c>
      <c r="E23" s="10"/>
    </row>
    <row r="24" customFormat="false" ht="15" hidden="false" customHeight="true" outlineLevel="0" collapsed="false">
      <c r="A24" s="3"/>
      <c r="B24" s="3" t="s">
        <v>524</v>
      </c>
      <c r="C24" s="10"/>
      <c r="D24" s="10"/>
      <c r="E24" s="10"/>
    </row>
    <row r="25" customFormat="false" ht="15" hidden="false" customHeight="true" outlineLevel="0" collapsed="false">
      <c r="A25" s="3"/>
      <c r="B25" s="3" t="s">
        <v>525</v>
      </c>
      <c r="C25" s="10"/>
      <c r="D25" s="10"/>
      <c r="E25" s="10"/>
    </row>
    <row r="26" customFormat="false" ht="15" hidden="false" customHeight="true" outlineLevel="0" collapsed="false">
      <c r="A26" s="3"/>
      <c r="B26" s="3" t="s">
        <v>526</v>
      </c>
      <c r="C26" s="10" t="s">
        <v>534</v>
      </c>
      <c r="D26" s="10" t="s">
        <v>237</v>
      </c>
      <c r="E26" s="10" t="s">
        <v>528</v>
      </c>
    </row>
    <row r="27" customFormat="false" ht="23.25" hidden="false" customHeight="true" outlineLevel="0" collapsed="false">
      <c r="A27" s="4" t="s">
        <v>283</v>
      </c>
      <c r="B27" s="12"/>
      <c r="C27" s="12"/>
      <c r="D27" s="12"/>
      <c r="E27" s="12"/>
    </row>
    <row r="28" customFormat="false" ht="15" hidden="false" customHeight="true" outlineLevel="0" collapsed="false">
      <c r="A28" s="3"/>
      <c r="B28" s="3" t="s">
        <v>507</v>
      </c>
      <c r="C28" s="10" t="s">
        <v>535</v>
      </c>
      <c r="D28" s="10" t="s">
        <v>237</v>
      </c>
      <c r="E28" s="10" t="s">
        <v>511</v>
      </c>
    </row>
    <row r="29" customFormat="false" ht="15" hidden="false" customHeight="true" outlineLevel="0" collapsed="false">
      <c r="A29" s="3"/>
      <c r="B29" s="3" t="s">
        <v>512</v>
      </c>
      <c r="C29" s="10" t="s">
        <v>536</v>
      </c>
      <c r="D29" s="10"/>
      <c r="E29" s="10"/>
    </row>
    <row r="30" customFormat="false" ht="15" hidden="false" customHeight="true" outlineLevel="0" collapsed="false">
      <c r="A30" s="3"/>
      <c r="B30" s="3" t="s">
        <v>514</v>
      </c>
      <c r="C30" s="10" t="s">
        <v>537</v>
      </c>
      <c r="D30" s="10"/>
      <c r="E30" s="10"/>
    </row>
    <row r="31" customFormat="false" ht="23.25" hidden="false" customHeight="true" outlineLevel="0" collapsed="false">
      <c r="A31" s="3"/>
      <c r="B31" s="3" t="s">
        <v>516</v>
      </c>
      <c r="C31" s="10"/>
      <c r="D31" s="10"/>
      <c r="E31" s="10"/>
    </row>
    <row r="32" customFormat="false" ht="15" hidden="false" customHeight="true" outlineLevel="0" collapsed="false">
      <c r="A32" s="3"/>
      <c r="B32" s="3" t="s">
        <v>517</v>
      </c>
      <c r="C32" s="10" t="s">
        <v>538</v>
      </c>
      <c r="D32" s="10"/>
      <c r="E32" s="10"/>
    </row>
    <row r="33" customFormat="false" ht="23.25" hidden="false" customHeight="true" outlineLevel="0" collapsed="false">
      <c r="A33" s="3"/>
      <c r="B33" s="3" t="s">
        <v>519</v>
      </c>
      <c r="C33" s="10"/>
      <c r="D33" s="10"/>
      <c r="E33" s="10"/>
    </row>
    <row r="34" customFormat="false" ht="15" hidden="false" customHeight="true" outlineLevel="0" collapsed="false">
      <c r="A34" s="3"/>
      <c r="B34" s="3" t="s">
        <v>520</v>
      </c>
      <c r="C34" s="10" t="s">
        <v>539</v>
      </c>
      <c r="D34" s="10"/>
      <c r="E34" s="10"/>
    </row>
    <row r="35" customFormat="false" ht="15" hidden="false" customHeight="true" outlineLevel="0" collapsed="false">
      <c r="A35" s="3"/>
      <c r="B35" s="3" t="s">
        <v>522</v>
      </c>
      <c r="C35" s="10" t="s">
        <v>523</v>
      </c>
      <c r="D35" s="10" t="s">
        <v>237</v>
      </c>
      <c r="E35" s="10"/>
    </row>
    <row r="36" customFormat="false" ht="15" hidden="false" customHeight="true" outlineLevel="0" collapsed="false">
      <c r="A36" s="3"/>
      <c r="B36" s="3" t="s">
        <v>524</v>
      </c>
      <c r="C36" s="10"/>
      <c r="D36" s="10"/>
      <c r="E36" s="10"/>
    </row>
    <row r="37" customFormat="false" ht="15" hidden="false" customHeight="true" outlineLevel="0" collapsed="false">
      <c r="A37" s="3"/>
      <c r="B37" s="3" t="s">
        <v>525</v>
      </c>
      <c r="C37" s="10"/>
      <c r="D37" s="10"/>
      <c r="E37" s="10"/>
    </row>
    <row r="38" customFormat="false" ht="15" hidden="false" customHeight="true" outlineLevel="0" collapsed="false">
      <c r="A38" s="3"/>
      <c r="B38" s="3" t="s">
        <v>526</v>
      </c>
      <c r="C38" s="10" t="s">
        <v>540</v>
      </c>
      <c r="D38" s="10" t="s">
        <v>237</v>
      </c>
      <c r="E38" s="10" t="s">
        <v>528</v>
      </c>
    </row>
    <row r="39" customFormat="false" ht="23.25" hidden="false" customHeight="true" outlineLevel="0" collapsed="false">
      <c r="A39" s="4" t="s">
        <v>297</v>
      </c>
      <c r="B39" s="12"/>
      <c r="C39" s="12"/>
      <c r="D39" s="12"/>
      <c r="E39" s="12"/>
    </row>
    <row r="40" customFormat="false" ht="15" hidden="false" customHeight="true" outlineLevel="0" collapsed="false">
      <c r="A40" s="3"/>
      <c r="B40" s="3" t="s">
        <v>507</v>
      </c>
      <c r="C40" s="10" t="s">
        <v>541</v>
      </c>
      <c r="D40" s="10" t="s">
        <v>237</v>
      </c>
      <c r="E40" s="10" t="s">
        <v>511</v>
      </c>
    </row>
    <row r="41" customFormat="false" ht="15" hidden="false" customHeight="true" outlineLevel="0" collapsed="false">
      <c r="A41" s="3"/>
      <c r="B41" s="3" t="s">
        <v>512</v>
      </c>
      <c r="C41" s="10" t="s">
        <v>542</v>
      </c>
      <c r="D41" s="10"/>
      <c r="E41" s="10"/>
    </row>
    <row r="42" customFormat="false" ht="15" hidden="false" customHeight="true" outlineLevel="0" collapsed="false">
      <c r="A42" s="3"/>
      <c r="B42" s="3" t="s">
        <v>514</v>
      </c>
      <c r="C42" s="10" t="s">
        <v>543</v>
      </c>
      <c r="D42" s="10"/>
      <c r="E42" s="10"/>
    </row>
    <row r="43" customFormat="false" ht="23.25" hidden="false" customHeight="true" outlineLevel="0" collapsed="false">
      <c r="A43" s="3"/>
      <c r="B43" s="3" t="s">
        <v>516</v>
      </c>
      <c r="C43" s="10"/>
      <c r="D43" s="10"/>
      <c r="E43" s="10"/>
    </row>
    <row r="44" customFormat="false" ht="15" hidden="false" customHeight="true" outlineLevel="0" collapsed="false">
      <c r="A44" s="3"/>
      <c r="B44" s="3" t="s">
        <v>517</v>
      </c>
      <c r="C44" s="10" t="s">
        <v>544</v>
      </c>
      <c r="D44" s="10"/>
      <c r="E44" s="10"/>
    </row>
    <row r="45" customFormat="false" ht="23.25" hidden="false" customHeight="true" outlineLevel="0" collapsed="false">
      <c r="A45" s="3"/>
      <c r="B45" s="3" t="s">
        <v>519</v>
      </c>
      <c r="C45" s="10"/>
      <c r="D45" s="10"/>
      <c r="E45" s="10"/>
    </row>
    <row r="46" customFormat="false" ht="15" hidden="false" customHeight="true" outlineLevel="0" collapsed="false">
      <c r="A46" s="3"/>
      <c r="B46" s="3" t="s">
        <v>520</v>
      </c>
      <c r="C46" s="10" t="s">
        <v>545</v>
      </c>
      <c r="D46" s="10"/>
      <c r="E46" s="10"/>
    </row>
    <row r="47" customFormat="false" ht="15" hidden="false" customHeight="true" outlineLevel="0" collapsed="false">
      <c r="A47" s="3"/>
      <c r="B47" s="3" t="s">
        <v>522</v>
      </c>
      <c r="C47" s="10" t="s">
        <v>523</v>
      </c>
      <c r="D47" s="10" t="s">
        <v>237</v>
      </c>
      <c r="E47" s="10"/>
    </row>
    <row r="48" customFormat="false" ht="15" hidden="false" customHeight="true" outlineLevel="0" collapsed="false">
      <c r="A48" s="3"/>
      <c r="B48" s="3" t="s">
        <v>524</v>
      </c>
      <c r="C48" s="10"/>
      <c r="D48" s="10"/>
      <c r="E48" s="10"/>
    </row>
    <row r="49" customFormat="false" ht="15" hidden="false" customHeight="true" outlineLevel="0" collapsed="false">
      <c r="A49" s="3"/>
      <c r="B49" s="3" t="s">
        <v>525</v>
      </c>
      <c r="C49" s="10"/>
      <c r="D49" s="10"/>
      <c r="E49" s="10"/>
    </row>
    <row r="50" customFormat="false" ht="15" hidden="false" customHeight="true" outlineLevel="0" collapsed="false">
      <c r="A50" s="3"/>
      <c r="B50" s="3" t="s">
        <v>526</v>
      </c>
      <c r="C50" s="10" t="s">
        <v>546</v>
      </c>
      <c r="D50" s="10" t="s">
        <v>237</v>
      </c>
      <c r="E50" s="10" t="s">
        <v>528</v>
      </c>
    </row>
    <row r="51" customFormat="false" ht="23.25" hidden="false" customHeight="true" outlineLevel="0" collapsed="false">
      <c r="A51" s="4" t="s">
        <v>312</v>
      </c>
      <c r="B51" s="12"/>
      <c r="C51" s="12"/>
      <c r="D51" s="12"/>
      <c r="E51" s="12"/>
    </row>
    <row r="52" customFormat="false" ht="15" hidden="false" customHeight="true" outlineLevel="0" collapsed="false">
      <c r="A52" s="3"/>
      <c r="B52" s="3" t="s">
        <v>507</v>
      </c>
      <c r="C52" s="10" t="s">
        <v>547</v>
      </c>
      <c r="D52" s="10" t="s">
        <v>237</v>
      </c>
      <c r="E52" s="10" t="s">
        <v>511</v>
      </c>
    </row>
    <row r="53" customFormat="false" ht="15" hidden="false" customHeight="true" outlineLevel="0" collapsed="false">
      <c r="A53" s="3"/>
      <c r="B53" s="3" t="s">
        <v>512</v>
      </c>
      <c r="C53" s="10" t="s">
        <v>548</v>
      </c>
      <c r="D53" s="10"/>
      <c r="E53" s="10"/>
    </row>
    <row r="54" customFormat="false" ht="15" hidden="false" customHeight="true" outlineLevel="0" collapsed="false">
      <c r="A54" s="3"/>
      <c r="B54" s="3" t="s">
        <v>514</v>
      </c>
      <c r="C54" s="10" t="s">
        <v>549</v>
      </c>
      <c r="D54" s="10"/>
      <c r="E54" s="10"/>
    </row>
    <row r="55" customFormat="false" ht="23.25" hidden="false" customHeight="true" outlineLevel="0" collapsed="false">
      <c r="A55" s="3"/>
      <c r="B55" s="3" t="s">
        <v>516</v>
      </c>
      <c r="C55" s="10"/>
      <c r="D55" s="10"/>
      <c r="E55" s="10"/>
    </row>
    <row r="56" customFormat="false" ht="15" hidden="false" customHeight="true" outlineLevel="0" collapsed="false">
      <c r="A56" s="3"/>
      <c r="B56" s="3" t="s">
        <v>517</v>
      </c>
      <c r="C56" s="10" t="s">
        <v>550</v>
      </c>
      <c r="D56" s="10"/>
      <c r="E56" s="10"/>
    </row>
    <row r="57" customFormat="false" ht="23.25" hidden="false" customHeight="true" outlineLevel="0" collapsed="false">
      <c r="A57" s="3"/>
      <c r="B57" s="3" t="s">
        <v>519</v>
      </c>
      <c r="C57" s="10"/>
      <c r="D57" s="10"/>
      <c r="E57" s="10"/>
    </row>
    <row r="58" customFormat="false" ht="15" hidden="false" customHeight="true" outlineLevel="0" collapsed="false">
      <c r="A58" s="3"/>
      <c r="B58" s="3" t="s">
        <v>520</v>
      </c>
      <c r="C58" s="10" t="s">
        <v>551</v>
      </c>
      <c r="D58" s="10"/>
      <c r="E58" s="10"/>
    </row>
    <row r="59" customFormat="false" ht="15" hidden="false" customHeight="true" outlineLevel="0" collapsed="false">
      <c r="A59" s="3"/>
      <c r="B59" s="3" t="s">
        <v>522</v>
      </c>
      <c r="C59" s="10" t="s">
        <v>523</v>
      </c>
      <c r="D59" s="10" t="s">
        <v>237</v>
      </c>
      <c r="E59" s="10"/>
    </row>
    <row r="60" customFormat="false" ht="15" hidden="false" customHeight="true" outlineLevel="0" collapsed="false">
      <c r="A60" s="3"/>
      <c r="B60" s="3" t="s">
        <v>524</v>
      </c>
      <c r="C60" s="10"/>
      <c r="D60" s="10"/>
      <c r="E60" s="10"/>
    </row>
    <row r="61" customFormat="false" ht="15" hidden="false" customHeight="true" outlineLevel="0" collapsed="false">
      <c r="A61" s="3"/>
      <c r="B61" s="3" t="s">
        <v>525</v>
      </c>
      <c r="C61" s="10"/>
      <c r="D61" s="10"/>
      <c r="E61" s="10"/>
    </row>
    <row r="62" customFormat="false" ht="15" hidden="false" customHeight="true" outlineLevel="0" collapsed="false">
      <c r="A62" s="3"/>
      <c r="B62" s="3" t="s">
        <v>526</v>
      </c>
      <c r="C62" s="10" t="s">
        <v>552</v>
      </c>
      <c r="D62" s="10" t="s">
        <v>237</v>
      </c>
      <c r="E62" s="10" t="s">
        <v>528</v>
      </c>
    </row>
    <row r="63" customFormat="false" ht="23.25" hidden="false" customHeight="true" outlineLevel="0" collapsed="false">
      <c r="A63" s="4" t="s">
        <v>325</v>
      </c>
      <c r="B63" s="12"/>
      <c r="C63" s="12"/>
      <c r="D63" s="12"/>
      <c r="E63" s="12"/>
    </row>
    <row r="64" customFormat="false" ht="15" hidden="false" customHeight="true" outlineLevel="0" collapsed="false">
      <c r="A64" s="3"/>
      <c r="B64" s="3" t="s">
        <v>507</v>
      </c>
      <c r="C64" s="10" t="s">
        <v>553</v>
      </c>
      <c r="D64" s="10" t="s">
        <v>237</v>
      </c>
      <c r="E64" s="10" t="s">
        <v>511</v>
      </c>
    </row>
    <row r="65" customFormat="false" ht="15" hidden="false" customHeight="true" outlineLevel="0" collapsed="false">
      <c r="A65" s="3"/>
      <c r="B65" s="3" t="s">
        <v>512</v>
      </c>
      <c r="C65" s="10" t="s">
        <v>554</v>
      </c>
      <c r="D65" s="10"/>
      <c r="E65" s="10"/>
    </row>
    <row r="66" customFormat="false" ht="15" hidden="false" customHeight="true" outlineLevel="0" collapsed="false">
      <c r="A66" s="3"/>
      <c r="B66" s="3" t="s">
        <v>514</v>
      </c>
      <c r="C66" s="10" t="s">
        <v>555</v>
      </c>
      <c r="D66" s="10"/>
      <c r="E66" s="10"/>
    </row>
    <row r="67" customFormat="false" ht="23.25" hidden="false" customHeight="true" outlineLevel="0" collapsed="false">
      <c r="A67" s="3"/>
      <c r="B67" s="3" t="s">
        <v>516</v>
      </c>
      <c r="C67" s="10"/>
      <c r="D67" s="10"/>
      <c r="E67" s="10"/>
    </row>
    <row r="68" customFormat="false" ht="15" hidden="false" customHeight="true" outlineLevel="0" collapsed="false">
      <c r="A68" s="3"/>
      <c r="B68" s="3" t="s">
        <v>517</v>
      </c>
      <c r="C68" s="10" t="s">
        <v>556</v>
      </c>
      <c r="D68" s="10"/>
      <c r="E68" s="10"/>
    </row>
    <row r="69" customFormat="false" ht="23.25" hidden="false" customHeight="true" outlineLevel="0" collapsed="false">
      <c r="A69" s="3"/>
      <c r="B69" s="3" t="s">
        <v>519</v>
      </c>
      <c r="C69" s="10"/>
      <c r="D69" s="10"/>
      <c r="E69" s="10"/>
    </row>
    <row r="70" customFormat="false" ht="15" hidden="false" customHeight="true" outlineLevel="0" collapsed="false">
      <c r="A70" s="3"/>
      <c r="B70" s="3" t="s">
        <v>520</v>
      </c>
      <c r="C70" s="10" t="s">
        <v>557</v>
      </c>
      <c r="D70" s="10"/>
      <c r="E70" s="10"/>
    </row>
    <row r="71" customFormat="false" ht="15" hidden="false" customHeight="true" outlineLevel="0" collapsed="false">
      <c r="A71" s="3"/>
      <c r="B71" s="3" t="s">
        <v>522</v>
      </c>
      <c r="C71" s="10" t="s">
        <v>523</v>
      </c>
      <c r="D71" s="10" t="s">
        <v>237</v>
      </c>
      <c r="E71" s="10"/>
    </row>
    <row r="72" customFormat="false" ht="15" hidden="false" customHeight="true" outlineLevel="0" collapsed="false">
      <c r="A72" s="3"/>
      <c r="B72" s="3" t="s">
        <v>524</v>
      </c>
      <c r="C72" s="10"/>
      <c r="D72" s="10"/>
      <c r="E72" s="10"/>
    </row>
    <row r="73" customFormat="false" ht="15" hidden="false" customHeight="true" outlineLevel="0" collapsed="false">
      <c r="A73" s="3"/>
      <c r="B73" s="3" t="s">
        <v>525</v>
      </c>
      <c r="C73" s="10"/>
      <c r="D73" s="10"/>
      <c r="E73" s="10"/>
    </row>
    <row r="74" customFormat="false" ht="15" hidden="false" customHeight="true" outlineLevel="0" collapsed="false">
      <c r="A74" s="3"/>
      <c r="B74" s="3" t="s">
        <v>526</v>
      </c>
      <c r="C74" s="10" t="s">
        <v>558</v>
      </c>
      <c r="D74" s="10" t="s">
        <v>237</v>
      </c>
      <c r="E74" s="10" t="s">
        <v>528</v>
      </c>
    </row>
    <row r="75" customFormat="false" ht="23.25" hidden="false" customHeight="true" outlineLevel="0" collapsed="false">
      <c r="A75" s="4" t="s">
        <v>338</v>
      </c>
      <c r="B75" s="12"/>
      <c r="C75" s="12"/>
      <c r="D75" s="12"/>
      <c r="E75" s="12"/>
    </row>
    <row r="76" customFormat="false" ht="15" hidden="false" customHeight="true" outlineLevel="0" collapsed="false">
      <c r="A76" s="3"/>
      <c r="B76" s="3" t="s">
        <v>507</v>
      </c>
      <c r="C76" s="10" t="s">
        <v>559</v>
      </c>
      <c r="D76" s="10" t="s">
        <v>237</v>
      </c>
      <c r="E76" s="10" t="s">
        <v>511</v>
      </c>
    </row>
    <row r="77" customFormat="false" ht="15" hidden="false" customHeight="true" outlineLevel="0" collapsed="false">
      <c r="A77" s="3"/>
      <c r="B77" s="3" t="s">
        <v>512</v>
      </c>
      <c r="C77" s="10" t="s">
        <v>560</v>
      </c>
      <c r="D77" s="10"/>
      <c r="E77" s="10"/>
    </row>
    <row r="78" customFormat="false" ht="15" hidden="false" customHeight="true" outlineLevel="0" collapsed="false">
      <c r="A78" s="3"/>
      <c r="B78" s="3" t="s">
        <v>514</v>
      </c>
      <c r="C78" s="10" t="s">
        <v>561</v>
      </c>
      <c r="D78" s="10"/>
      <c r="E78" s="10"/>
    </row>
    <row r="79" customFormat="false" ht="23.25" hidden="false" customHeight="true" outlineLevel="0" collapsed="false">
      <c r="A79" s="3"/>
      <c r="B79" s="3" t="s">
        <v>516</v>
      </c>
      <c r="C79" s="10"/>
      <c r="D79" s="10"/>
      <c r="E79" s="10"/>
    </row>
    <row r="80" customFormat="false" ht="15" hidden="false" customHeight="true" outlineLevel="0" collapsed="false">
      <c r="A80" s="3"/>
      <c r="B80" s="3" t="s">
        <v>517</v>
      </c>
      <c r="C80" s="10" t="s">
        <v>550</v>
      </c>
      <c r="D80" s="10"/>
      <c r="E80" s="10"/>
    </row>
    <row r="81" customFormat="false" ht="23.25" hidden="false" customHeight="true" outlineLevel="0" collapsed="false">
      <c r="A81" s="3"/>
      <c r="B81" s="3" t="s">
        <v>519</v>
      </c>
      <c r="C81" s="10"/>
      <c r="D81" s="10"/>
      <c r="E81" s="10"/>
    </row>
    <row r="82" customFormat="false" ht="15" hidden="false" customHeight="true" outlineLevel="0" collapsed="false">
      <c r="A82" s="3"/>
      <c r="B82" s="3" t="s">
        <v>520</v>
      </c>
      <c r="C82" s="10" t="s">
        <v>562</v>
      </c>
      <c r="D82" s="10"/>
      <c r="E82" s="10"/>
    </row>
    <row r="83" customFormat="false" ht="15" hidden="false" customHeight="true" outlineLevel="0" collapsed="false">
      <c r="A83" s="3"/>
      <c r="B83" s="3" t="s">
        <v>522</v>
      </c>
      <c r="C83" s="10" t="s">
        <v>523</v>
      </c>
      <c r="D83" s="10" t="s">
        <v>237</v>
      </c>
      <c r="E83" s="10"/>
    </row>
    <row r="84" customFormat="false" ht="15" hidden="false" customHeight="true" outlineLevel="0" collapsed="false">
      <c r="A84" s="3"/>
      <c r="B84" s="3" t="s">
        <v>524</v>
      </c>
      <c r="C84" s="10"/>
      <c r="D84" s="10"/>
      <c r="E84" s="10"/>
    </row>
    <row r="85" customFormat="false" ht="15" hidden="false" customHeight="true" outlineLevel="0" collapsed="false">
      <c r="A85" s="3"/>
      <c r="B85" s="3" t="s">
        <v>525</v>
      </c>
      <c r="C85" s="10"/>
      <c r="D85" s="10"/>
      <c r="E85" s="10"/>
    </row>
    <row r="86" customFormat="false" ht="15" hidden="false" customHeight="true" outlineLevel="0" collapsed="false">
      <c r="A86" s="3"/>
      <c r="B86" s="3" t="s">
        <v>526</v>
      </c>
      <c r="C86" s="10" t="s">
        <v>563</v>
      </c>
      <c r="D86" s="10" t="s">
        <v>237</v>
      </c>
      <c r="E86" s="10" t="s">
        <v>528</v>
      </c>
    </row>
    <row r="87" customFormat="false" ht="15" hidden="false" customHeight="true" outlineLevel="0" collapsed="false">
      <c r="A87" s="4" t="s">
        <v>350</v>
      </c>
      <c r="B87" s="12"/>
      <c r="C87" s="12"/>
      <c r="D87" s="12"/>
      <c r="E87" s="12"/>
    </row>
    <row r="88" customFormat="false" ht="15" hidden="false" customHeight="true" outlineLevel="0" collapsed="false">
      <c r="A88" s="3"/>
      <c r="B88" s="3" t="s">
        <v>507</v>
      </c>
      <c r="C88" s="10" t="s">
        <v>554</v>
      </c>
      <c r="D88" s="10" t="s">
        <v>237</v>
      </c>
      <c r="E88" s="10" t="s">
        <v>511</v>
      </c>
    </row>
    <row r="89" customFormat="false" ht="15" hidden="false" customHeight="true" outlineLevel="0" collapsed="false">
      <c r="A89" s="3"/>
      <c r="B89" s="3" t="s">
        <v>512</v>
      </c>
      <c r="C89" s="10" t="s">
        <v>548</v>
      </c>
      <c r="D89" s="10"/>
      <c r="E89" s="10"/>
    </row>
    <row r="90" customFormat="false" ht="15" hidden="false" customHeight="true" outlineLevel="0" collapsed="false">
      <c r="A90" s="3"/>
      <c r="B90" s="3" t="s">
        <v>514</v>
      </c>
      <c r="C90" s="10" t="s">
        <v>564</v>
      </c>
      <c r="D90" s="10"/>
      <c r="E90" s="10"/>
    </row>
    <row r="91" customFormat="false" ht="23.25" hidden="false" customHeight="true" outlineLevel="0" collapsed="false">
      <c r="A91" s="3"/>
      <c r="B91" s="3" t="s">
        <v>516</v>
      </c>
      <c r="C91" s="10"/>
      <c r="D91" s="10"/>
      <c r="E91" s="10"/>
    </row>
    <row r="92" customFormat="false" ht="15" hidden="false" customHeight="true" outlineLevel="0" collapsed="false">
      <c r="A92" s="3"/>
      <c r="B92" s="3" t="s">
        <v>517</v>
      </c>
      <c r="C92" s="10" t="s">
        <v>565</v>
      </c>
      <c r="D92" s="10"/>
      <c r="E92" s="10"/>
    </row>
    <row r="93" customFormat="false" ht="23.25" hidden="false" customHeight="true" outlineLevel="0" collapsed="false">
      <c r="A93" s="3"/>
      <c r="B93" s="3" t="s">
        <v>519</v>
      </c>
      <c r="C93" s="10"/>
      <c r="D93" s="10"/>
      <c r="E93" s="10"/>
    </row>
    <row r="94" customFormat="false" ht="15" hidden="false" customHeight="true" outlineLevel="0" collapsed="false">
      <c r="A94" s="3"/>
      <c r="B94" s="3" t="s">
        <v>520</v>
      </c>
      <c r="C94" s="10" t="s">
        <v>566</v>
      </c>
      <c r="D94" s="10"/>
      <c r="E94" s="10"/>
    </row>
    <row r="95" customFormat="false" ht="15" hidden="false" customHeight="true" outlineLevel="0" collapsed="false">
      <c r="A95" s="3"/>
      <c r="B95" s="3" t="s">
        <v>522</v>
      </c>
      <c r="C95" s="10" t="s">
        <v>523</v>
      </c>
      <c r="D95" s="10" t="s">
        <v>237</v>
      </c>
      <c r="E95" s="10"/>
    </row>
    <row r="96" customFormat="false" ht="15" hidden="false" customHeight="true" outlineLevel="0" collapsed="false">
      <c r="A96" s="3"/>
      <c r="B96" s="3" t="s">
        <v>524</v>
      </c>
      <c r="C96" s="10"/>
      <c r="D96" s="10"/>
      <c r="E96" s="10"/>
    </row>
    <row r="97" customFormat="false" ht="15" hidden="false" customHeight="true" outlineLevel="0" collapsed="false">
      <c r="A97" s="3"/>
      <c r="B97" s="3" t="s">
        <v>525</v>
      </c>
      <c r="C97" s="10"/>
      <c r="D97" s="10"/>
      <c r="E97" s="10"/>
    </row>
    <row r="98" customFormat="false" ht="15" hidden="false" customHeight="true" outlineLevel="0" collapsed="false">
      <c r="A98" s="3"/>
      <c r="B98" s="3" t="s">
        <v>526</v>
      </c>
      <c r="C98" s="10" t="s">
        <v>567</v>
      </c>
      <c r="D98" s="10" t="s">
        <v>237</v>
      </c>
      <c r="E98" s="10" t="s">
        <v>528</v>
      </c>
    </row>
    <row r="99" customFormat="false" ht="23.25" hidden="false" customHeight="true" outlineLevel="0" collapsed="false">
      <c r="A99" s="4" t="s">
        <v>362</v>
      </c>
      <c r="B99" s="12"/>
      <c r="C99" s="12"/>
      <c r="D99" s="12"/>
      <c r="E99" s="12"/>
    </row>
    <row r="100" customFormat="false" ht="15" hidden="false" customHeight="true" outlineLevel="0" collapsed="false">
      <c r="A100" s="3"/>
      <c r="B100" s="3" t="s">
        <v>507</v>
      </c>
      <c r="C100" s="10" t="s">
        <v>568</v>
      </c>
      <c r="D100" s="10" t="s">
        <v>237</v>
      </c>
      <c r="E100" s="10" t="s">
        <v>511</v>
      </c>
    </row>
    <row r="101" customFormat="false" ht="15" hidden="false" customHeight="true" outlineLevel="0" collapsed="false">
      <c r="A101" s="3"/>
      <c r="B101" s="3" t="s">
        <v>512</v>
      </c>
      <c r="C101" s="10" t="s">
        <v>569</v>
      </c>
      <c r="D101" s="10"/>
      <c r="E101" s="10"/>
    </row>
    <row r="102" customFormat="false" ht="15" hidden="false" customHeight="true" outlineLevel="0" collapsed="false">
      <c r="A102" s="3"/>
      <c r="B102" s="3" t="s">
        <v>514</v>
      </c>
      <c r="C102" s="10" t="s">
        <v>555</v>
      </c>
      <c r="D102" s="10"/>
      <c r="E102" s="10"/>
    </row>
    <row r="103" customFormat="false" ht="23.25" hidden="false" customHeight="true" outlineLevel="0" collapsed="false">
      <c r="A103" s="3"/>
      <c r="B103" s="3" t="s">
        <v>516</v>
      </c>
      <c r="C103" s="10"/>
      <c r="D103" s="10"/>
      <c r="E103" s="10"/>
    </row>
    <row r="104" customFormat="false" ht="15" hidden="false" customHeight="true" outlineLevel="0" collapsed="false">
      <c r="A104" s="3"/>
      <c r="B104" s="3" t="s">
        <v>517</v>
      </c>
      <c r="C104" s="10" t="s">
        <v>570</v>
      </c>
      <c r="D104" s="10"/>
      <c r="E104" s="10"/>
    </row>
    <row r="105" customFormat="false" ht="23.25" hidden="false" customHeight="true" outlineLevel="0" collapsed="false">
      <c r="A105" s="3"/>
      <c r="B105" s="3" t="s">
        <v>519</v>
      </c>
      <c r="C105" s="10"/>
      <c r="D105" s="10"/>
      <c r="E105" s="10"/>
    </row>
    <row r="106" customFormat="false" ht="15" hidden="false" customHeight="true" outlineLevel="0" collapsed="false">
      <c r="A106" s="3"/>
      <c r="B106" s="3" t="s">
        <v>520</v>
      </c>
      <c r="C106" s="10" t="s">
        <v>571</v>
      </c>
      <c r="D106" s="10"/>
      <c r="E106" s="10"/>
    </row>
    <row r="107" customFormat="false" ht="15" hidden="false" customHeight="true" outlineLevel="0" collapsed="false">
      <c r="A107" s="3"/>
      <c r="B107" s="3" t="s">
        <v>522</v>
      </c>
      <c r="C107" s="10" t="s">
        <v>523</v>
      </c>
      <c r="D107" s="10" t="s">
        <v>237</v>
      </c>
      <c r="E107" s="10"/>
    </row>
    <row r="108" customFormat="false" ht="15" hidden="false" customHeight="true" outlineLevel="0" collapsed="false">
      <c r="A108" s="3"/>
      <c r="B108" s="3" t="s">
        <v>524</v>
      </c>
      <c r="C108" s="10"/>
      <c r="D108" s="10"/>
      <c r="E108" s="10"/>
    </row>
    <row r="109" customFormat="false" ht="15" hidden="false" customHeight="true" outlineLevel="0" collapsed="false">
      <c r="A109" s="3"/>
      <c r="B109" s="3" t="s">
        <v>525</v>
      </c>
      <c r="C109" s="10"/>
      <c r="D109" s="10"/>
      <c r="E109" s="10"/>
    </row>
    <row r="110" customFormat="false" ht="15" hidden="false" customHeight="true" outlineLevel="0" collapsed="false">
      <c r="A110" s="3"/>
      <c r="B110" s="3" t="s">
        <v>526</v>
      </c>
      <c r="C110" s="10" t="s">
        <v>572</v>
      </c>
      <c r="D110" s="10" t="s">
        <v>237</v>
      </c>
      <c r="E110" s="10" t="s">
        <v>528</v>
      </c>
    </row>
    <row r="111" customFormat="false" ht="23.25" hidden="false" customHeight="true" outlineLevel="0" collapsed="false">
      <c r="A111" s="4" t="s">
        <v>378</v>
      </c>
      <c r="B111" s="12"/>
      <c r="C111" s="12"/>
      <c r="D111" s="12"/>
      <c r="E111" s="12"/>
    </row>
    <row r="112" customFormat="false" ht="15" hidden="false" customHeight="true" outlineLevel="0" collapsed="false">
      <c r="A112" s="3"/>
      <c r="B112" s="3" t="s">
        <v>507</v>
      </c>
      <c r="C112" s="10" t="s">
        <v>536</v>
      </c>
      <c r="D112" s="10" t="s">
        <v>237</v>
      </c>
      <c r="E112" s="10" t="s">
        <v>511</v>
      </c>
    </row>
    <row r="113" customFormat="false" ht="15" hidden="false" customHeight="true" outlineLevel="0" collapsed="false">
      <c r="A113" s="3"/>
      <c r="B113" s="3" t="s">
        <v>512</v>
      </c>
      <c r="C113" s="10" t="s">
        <v>573</v>
      </c>
      <c r="D113" s="10"/>
      <c r="E113" s="10"/>
    </row>
    <row r="114" customFormat="false" ht="15" hidden="false" customHeight="true" outlineLevel="0" collapsed="false">
      <c r="A114" s="3"/>
      <c r="B114" s="3" t="s">
        <v>514</v>
      </c>
      <c r="C114" s="10" t="s">
        <v>561</v>
      </c>
      <c r="D114" s="10"/>
      <c r="E114" s="10"/>
    </row>
    <row r="115" customFormat="false" ht="23.25" hidden="false" customHeight="true" outlineLevel="0" collapsed="false">
      <c r="A115" s="3"/>
      <c r="B115" s="3" t="s">
        <v>516</v>
      </c>
      <c r="C115" s="10"/>
      <c r="D115" s="10"/>
      <c r="E115" s="10"/>
    </row>
    <row r="116" customFormat="false" ht="15" hidden="false" customHeight="true" outlineLevel="0" collapsed="false">
      <c r="A116" s="3"/>
      <c r="B116" s="3" t="s">
        <v>517</v>
      </c>
      <c r="C116" s="10" t="s">
        <v>574</v>
      </c>
      <c r="D116" s="10"/>
      <c r="E116" s="10"/>
    </row>
    <row r="117" customFormat="false" ht="23.25" hidden="false" customHeight="true" outlineLevel="0" collapsed="false">
      <c r="A117" s="3"/>
      <c r="B117" s="3" t="s">
        <v>519</v>
      </c>
      <c r="C117" s="10"/>
      <c r="D117" s="10"/>
      <c r="E117" s="10"/>
    </row>
    <row r="118" customFormat="false" ht="15" hidden="false" customHeight="true" outlineLevel="0" collapsed="false">
      <c r="A118" s="3"/>
      <c r="B118" s="3" t="s">
        <v>520</v>
      </c>
      <c r="C118" s="10" t="s">
        <v>571</v>
      </c>
      <c r="D118" s="10"/>
      <c r="E118" s="10"/>
    </row>
    <row r="119" customFormat="false" ht="15" hidden="false" customHeight="true" outlineLevel="0" collapsed="false">
      <c r="A119" s="3"/>
      <c r="B119" s="3" t="s">
        <v>522</v>
      </c>
      <c r="C119" s="10" t="s">
        <v>523</v>
      </c>
      <c r="D119" s="10" t="s">
        <v>237</v>
      </c>
      <c r="E119" s="10"/>
    </row>
    <row r="120" customFormat="false" ht="15" hidden="false" customHeight="true" outlineLevel="0" collapsed="false">
      <c r="A120" s="3"/>
      <c r="B120" s="3" t="s">
        <v>524</v>
      </c>
      <c r="C120" s="10"/>
      <c r="D120" s="10"/>
      <c r="E120" s="10"/>
    </row>
    <row r="121" customFormat="false" ht="15" hidden="false" customHeight="true" outlineLevel="0" collapsed="false">
      <c r="A121" s="3"/>
      <c r="B121" s="3" t="s">
        <v>525</v>
      </c>
      <c r="C121" s="10"/>
      <c r="D121" s="10"/>
      <c r="E121" s="10"/>
    </row>
    <row r="122" customFormat="false" ht="15" hidden="false" customHeight="true" outlineLevel="0" collapsed="false">
      <c r="A122" s="3"/>
      <c r="B122" s="3" t="s">
        <v>526</v>
      </c>
      <c r="C122" s="10" t="s">
        <v>575</v>
      </c>
      <c r="D122" s="10" t="s">
        <v>237</v>
      </c>
      <c r="E122" s="10" t="s">
        <v>528</v>
      </c>
    </row>
    <row r="123" customFormat="false" ht="23.25" hidden="false" customHeight="true" outlineLevel="0" collapsed="false">
      <c r="A123" s="4" t="s">
        <v>390</v>
      </c>
      <c r="B123" s="12"/>
      <c r="C123" s="12"/>
      <c r="D123" s="12"/>
      <c r="E123" s="12"/>
    </row>
    <row r="124" customFormat="false" ht="15" hidden="false" customHeight="true" outlineLevel="0" collapsed="false">
      <c r="A124" s="3"/>
      <c r="B124" s="3" t="s">
        <v>507</v>
      </c>
      <c r="C124" s="10" t="s">
        <v>576</v>
      </c>
      <c r="D124" s="10" t="s">
        <v>237</v>
      </c>
      <c r="E124" s="10" t="s">
        <v>511</v>
      </c>
    </row>
    <row r="125" customFormat="false" ht="15" hidden="false" customHeight="true" outlineLevel="0" collapsed="false">
      <c r="A125" s="3"/>
      <c r="B125" s="3" t="s">
        <v>512</v>
      </c>
      <c r="C125" s="10" t="s">
        <v>530</v>
      </c>
      <c r="D125" s="10"/>
      <c r="E125" s="10"/>
    </row>
    <row r="126" customFormat="false" ht="15" hidden="false" customHeight="true" outlineLevel="0" collapsed="false">
      <c r="A126" s="3"/>
      <c r="B126" s="3" t="s">
        <v>514</v>
      </c>
      <c r="C126" s="10" t="s">
        <v>577</v>
      </c>
      <c r="D126" s="10"/>
      <c r="E126" s="10"/>
    </row>
    <row r="127" customFormat="false" ht="23.25" hidden="false" customHeight="true" outlineLevel="0" collapsed="false">
      <c r="A127" s="3"/>
      <c r="B127" s="3" t="s">
        <v>516</v>
      </c>
      <c r="C127" s="10"/>
      <c r="D127" s="10"/>
      <c r="E127" s="10"/>
    </row>
    <row r="128" customFormat="false" ht="15" hidden="false" customHeight="true" outlineLevel="0" collapsed="false">
      <c r="A128" s="3"/>
      <c r="B128" s="3" t="s">
        <v>517</v>
      </c>
      <c r="C128" s="10" t="s">
        <v>578</v>
      </c>
      <c r="D128" s="10"/>
      <c r="E128" s="10"/>
    </row>
    <row r="129" customFormat="false" ht="23.25" hidden="false" customHeight="true" outlineLevel="0" collapsed="false">
      <c r="A129" s="3"/>
      <c r="B129" s="3" t="s">
        <v>519</v>
      </c>
      <c r="C129" s="10"/>
      <c r="D129" s="10"/>
      <c r="E129" s="10"/>
    </row>
    <row r="130" customFormat="false" ht="15" hidden="false" customHeight="true" outlineLevel="0" collapsed="false">
      <c r="A130" s="3"/>
      <c r="B130" s="3" t="s">
        <v>520</v>
      </c>
      <c r="C130" s="10" t="s">
        <v>545</v>
      </c>
      <c r="D130" s="10"/>
      <c r="E130" s="10"/>
    </row>
    <row r="131" customFormat="false" ht="15" hidden="false" customHeight="true" outlineLevel="0" collapsed="false">
      <c r="A131" s="3"/>
      <c r="B131" s="3" t="s">
        <v>522</v>
      </c>
      <c r="C131" s="10" t="s">
        <v>523</v>
      </c>
      <c r="D131" s="10" t="s">
        <v>237</v>
      </c>
      <c r="E131" s="10"/>
    </row>
    <row r="132" customFormat="false" ht="15" hidden="false" customHeight="true" outlineLevel="0" collapsed="false">
      <c r="A132" s="3"/>
      <c r="B132" s="3" t="s">
        <v>524</v>
      </c>
      <c r="C132" s="10"/>
      <c r="D132" s="10"/>
      <c r="E132" s="10"/>
    </row>
    <row r="133" customFormat="false" ht="15" hidden="false" customHeight="true" outlineLevel="0" collapsed="false">
      <c r="A133" s="3"/>
      <c r="B133" s="3" t="s">
        <v>525</v>
      </c>
      <c r="C133" s="10"/>
      <c r="D133" s="10"/>
      <c r="E133" s="10"/>
    </row>
    <row r="134" customFormat="false" ht="15" hidden="false" customHeight="true" outlineLevel="0" collapsed="false">
      <c r="A134" s="3"/>
      <c r="B134" s="3" t="s">
        <v>526</v>
      </c>
      <c r="C134" s="10" t="s">
        <v>579</v>
      </c>
      <c r="D134" s="10" t="s">
        <v>237</v>
      </c>
      <c r="E134" s="10" t="s">
        <v>528</v>
      </c>
    </row>
    <row r="135" customFormat="false" ht="23.25" hidden="false" customHeight="true" outlineLevel="0" collapsed="false">
      <c r="A135" s="4" t="s">
        <v>402</v>
      </c>
      <c r="B135" s="12"/>
      <c r="C135" s="12"/>
      <c r="D135" s="12"/>
      <c r="E135" s="12"/>
    </row>
    <row r="136" customFormat="false" ht="15" hidden="false" customHeight="true" outlineLevel="0" collapsed="false">
      <c r="A136" s="3"/>
      <c r="B136" s="3" t="s">
        <v>507</v>
      </c>
      <c r="C136" s="10" t="s">
        <v>580</v>
      </c>
      <c r="D136" s="10" t="s">
        <v>237</v>
      </c>
      <c r="E136" s="10" t="s">
        <v>511</v>
      </c>
    </row>
    <row r="137" customFormat="false" ht="15" hidden="false" customHeight="true" outlineLevel="0" collapsed="false">
      <c r="A137" s="3"/>
      <c r="B137" s="3" t="s">
        <v>512</v>
      </c>
      <c r="C137" s="10" t="s">
        <v>581</v>
      </c>
      <c r="D137" s="10"/>
      <c r="E137" s="10"/>
    </row>
    <row r="138" customFormat="false" ht="15" hidden="false" customHeight="true" outlineLevel="0" collapsed="false">
      <c r="A138" s="3"/>
      <c r="B138" s="3" t="s">
        <v>514</v>
      </c>
      <c r="C138" s="10" t="s">
        <v>582</v>
      </c>
      <c r="D138" s="10"/>
      <c r="E138" s="10"/>
    </row>
    <row r="139" customFormat="false" ht="23.25" hidden="false" customHeight="true" outlineLevel="0" collapsed="false">
      <c r="A139" s="3"/>
      <c r="B139" s="3" t="s">
        <v>516</v>
      </c>
      <c r="C139" s="10"/>
      <c r="D139" s="10"/>
      <c r="E139" s="10"/>
    </row>
    <row r="140" customFormat="false" ht="15" hidden="false" customHeight="true" outlineLevel="0" collapsed="false">
      <c r="A140" s="3"/>
      <c r="B140" s="3" t="s">
        <v>517</v>
      </c>
      <c r="C140" s="10" t="s">
        <v>583</v>
      </c>
      <c r="D140" s="10"/>
      <c r="E140" s="10"/>
    </row>
    <row r="141" customFormat="false" ht="23.25" hidden="false" customHeight="true" outlineLevel="0" collapsed="false">
      <c r="A141" s="3"/>
      <c r="B141" s="3" t="s">
        <v>519</v>
      </c>
      <c r="C141" s="10"/>
      <c r="D141" s="10"/>
      <c r="E141" s="10"/>
    </row>
    <row r="142" customFormat="false" ht="15" hidden="false" customHeight="true" outlineLevel="0" collapsed="false">
      <c r="A142" s="3"/>
      <c r="B142" s="3" t="s">
        <v>520</v>
      </c>
      <c r="C142" s="10" t="s">
        <v>584</v>
      </c>
      <c r="D142" s="10"/>
      <c r="E142" s="10"/>
    </row>
    <row r="143" customFormat="false" ht="15" hidden="false" customHeight="true" outlineLevel="0" collapsed="false">
      <c r="A143" s="3"/>
      <c r="B143" s="3" t="s">
        <v>522</v>
      </c>
      <c r="C143" s="10" t="s">
        <v>523</v>
      </c>
      <c r="D143" s="10" t="s">
        <v>237</v>
      </c>
      <c r="E143" s="10"/>
    </row>
    <row r="144" customFormat="false" ht="15" hidden="false" customHeight="true" outlineLevel="0" collapsed="false">
      <c r="A144" s="3"/>
      <c r="B144" s="3" t="s">
        <v>524</v>
      </c>
      <c r="C144" s="10"/>
      <c r="D144" s="10"/>
      <c r="E144" s="10"/>
    </row>
    <row r="145" customFormat="false" ht="15" hidden="false" customHeight="true" outlineLevel="0" collapsed="false">
      <c r="A145" s="3"/>
      <c r="B145" s="3" t="s">
        <v>525</v>
      </c>
      <c r="C145" s="10"/>
      <c r="D145" s="10"/>
      <c r="E145" s="10"/>
    </row>
    <row r="146" customFormat="false" ht="15" hidden="false" customHeight="true" outlineLevel="0" collapsed="false">
      <c r="A146" s="3"/>
      <c r="B146" s="3" t="s">
        <v>526</v>
      </c>
      <c r="C146" s="10" t="s">
        <v>585</v>
      </c>
      <c r="D146" s="10" t="s">
        <v>237</v>
      </c>
      <c r="E146" s="10" t="s">
        <v>528</v>
      </c>
    </row>
  </sheetData>
  <dataValidations count="1">
    <dataValidation allowBlank="true" errorStyle="stop" operator="between" showDropDown="false" showErrorMessage="false" showInputMessage="false" sqref="D3:D146" type="list">
      <formula1>"Y,N,—"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4"/>
    <col collapsed="false" customWidth="true" hidden="false" outlineLevel="0" max="3" min="3" style="1" width="22"/>
    <col collapsed="false" customWidth="true" hidden="false" outlineLevel="0" max="5" min="4" style="1" width="13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1" width="26"/>
  </cols>
  <sheetData>
    <row r="1" customFormat="false" ht="26.25" hidden="false" customHeight="true" outlineLevel="0" collapsed="false">
      <c r="A1" s="9" t="s">
        <v>586</v>
      </c>
      <c r="B1" s="9" t="s">
        <v>168</v>
      </c>
      <c r="C1" s="9" t="s">
        <v>587</v>
      </c>
      <c r="D1" s="9" t="s">
        <v>588</v>
      </c>
      <c r="E1" s="9" t="s">
        <v>589</v>
      </c>
      <c r="F1" s="9" t="s">
        <v>590</v>
      </c>
      <c r="G1" s="9" t="s">
        <v>591</v>
      </c>
      <c r="H1" s="9" t="s">
        <v>174</v>
      </c>
    </row>
    <row r="2" customFormat="false" ht="15" hidden="false" customHeight="true" outlineLevel="0" collapsed="false">
      <c r="A2" s="3" t="s">
        <v>592</v>
      </c>
      <c r="B2" s="3" t="s">
        <v>593</v>
      </c>
      <c r="C2" s="10"/>
      <c r="D2" s="10"/>
      <c r="E2" s="10"/>
      <c r="F2" s="11" t="str">
        <f aca="false">IF(OR(D2="",E2=""),"",E2-D2)</f>
        <v/>
      </c>
      <c r="G2" s="8" t="str">
        <f aca="false">IF(OR(C2="",D2="",E2=""),"",IF(B2="Fixed",IF(AND(F2=0,C2="No"),"PASS","FAIL"),"n/a"))</f>
        <v/>
      </c>
      <c r="H2" s="10"/>
    </row>
    <row r="3" customFormat="false" ht="15" hidden="false" customHeight="true" outlineLevel="0" collapsed="false">
      <c r="A3" s="3" t="s">
        <v>594</v>
      </c>
      <c r="B3" s="3" t="s">
        <v>593</v>
      </c>
      <c r="C3" s="10"/>
      <c r="D3" s="10"/>
      <c r="E3" s="10"/>
      <c r="F3" s="11" t="str">
        <f aca="false">IF(OR(D3="",E3=""),"",E3-D3)</f>
        <v/>
      </c>
      <c r="G3" s="8" t="str">
        <f aca="false">IF(OR(C3="",D3="",E3=""),"",IF(B3="Fixed",IF(AND(F3=0,C3="No"),"PASS","FAIL"),"n/a"))</f>
        <v/>
      </c>
      <c r="H3" s="10"/>
    </row>
    <row r="4" customFormat="false" ht="15" hidden="false" customHeight="true" outlineLevel="0" collapsed="false">
      <c r="A4" s="3" t="s">
        <v>595</v>
      </c>
      <c r="B4" s="3" t="s">
        <v>593</v>
      </c>
      <c r="C4" s="10"/>
      <c r="D4" s="10"/>
      <c r="E4" s="10"/>
      <c r="F4" s="11" t="str">
        <f aca="false">IF(OR(D4="",E4=""),"",E4-D4)</f>
        <v/>
      </c>
      <c r="G4" s="8" t="str">
        <f aca="false">IF(OR(C4="",D4="",E4=""),"",IF(B4="Fixed",IF(AND(F4=0,C4="No"),"PASS","FAIL"),"n/a"))</f>
        <v/>
      </c>
      <c r="H4" s="10"/>
    </row>
    <row r="5" customFormat="false" ht="23.25" hidden="false" customHeight="true" outlineLevel="0" collapsed="false">
      <c r="A5" s="3" t="s">
        <v>596</v>
      </c>
      <c r="B5" s="3" t="s">
        <v>593</v>
      </c>
      <c r="C5" s="10"/>
      <c r="D5" s="10"/>
      <c r="E5" s="10"/>
      <c r="F5" s="11" t="str">
        <f aca="false">IF(OR(D5="",E5=""),"",E5-D5)</f>
        <v/>
      </c>
      <c r="G5" s="8" t="str">
        <f aca="false">IF(OR(C5="",D5="",E5=""),"",IF(B5="Fixed",IF(AND(F5=0,C5="No"),"PASS","FAIL"),"n/a"))</f>
        <v/>
      </c>
      <c r="H5" s="10"/>
    </row>
    <row r="6" customFormat="false" ht="15" hidden="false" customHeight="true" outlineLevel="0" collapsed="false">
      <c r="A6" s="3" t="s">
        <v>597</v>
      </c>
      <c r="B6" s="3" t="s">
        <v>593</v>
      </c>
      <c r="C6" s="10"/>
      <c r="D6" s="10"/>
      <c r="E6" s="10"/>
      <c r="F6" s="11" t="str">
        <f aca="false">IF(OR(D6="",E6=""),"",E6-D6)</f>
        <v/>
      </c>
      <c r="G6" s="8" t="str">
        <f aca="false">IF(OR(C6="",D6="",E6=""),"",IF(B6="Fixed",IF(AND(F6=0,C6="No"),"PASS","FAIL"),"n/a"))</f>
        <v/>
      </c>
      <c r="H6" s="10"/>
    </row>
    <row r="7" customFormat="false" ht="15" hidden="false" customHeight="true" outlineLevel="0" collapsed="false">
      <c r="A7" s="3" t="s">
        <v>598</v>
      </c>
      <c r="B7" s="3" t="s">
        <v>593</v>
      </c>
      <c r="C7" s="10"/>
      <c r="D7" s="10"/>
      <c r="E7" s="10"/>
      <c r="F7" s="11" t="str">
        <f aca="false">IF(OR(D7="",E7=""),"",E7-D7)</f>
        <v/>
      </c>
      <c r="G7" s="8" t="str">
        <f aca="false">IF(OR(C7="",D7="",E7=""),"",IF(B7="Fixed",IF(AND(F7=0,C7="No"),"PASS","FAIL"),"n/a"))</f>
        <v/>
      </c>
      <c r="H7" s="10"/>
    </row>
    <row r="8" customFormat="false" ht="15" hidden="false" customHeight="true" outlineLevel="0" collapsed="false">
      <c r="A8" s="3" t="s">
        <v>599</v>
      </c>
      <c r="B8" s="3" t="s">
        <v>593</v>
      </c>
      <c r="C8" s="10"/>
      <c r="D8" s="10"/>
      <c r="E8" s="10"/>
      <c r="F8" s="11" t="str">
        <f aca="false">IF(OR(D8="",E8=""),"",E8-D8)</f>
        <v/>
      </c>
      <c r="G8" s="8" t="str">
        <f aca="false">IF(OR(C8="",D8="",E8=""),"",IF(B8="Fixed",IF(AND(F8=0,C8="No"),"PASS","FAIL"),"n/a"))</f>
        <v/>
      </c>
      <c r="H8" s="10"/>
    </row>
    <row r="9" customFormat="false" ht="15" hidden="false" customHeight="true" outlineLevel="0" collapsed="false">
      <c r="A9" s="3" t="s">
        <v>600</v>
      </c>
      <c r="B9" s="3" t="s">
        <v>593</v>
      </c>
      <c r="C9" s="10"/>
      <c r="D9" s="10"/>
      <c r="E9" s="10"/>
      <c r="F9" s="11" t="str">
        <f aca="false">IF(OR(D9="",E9=""),"",E9-D9)</f>
        <v/>
      </c>
      <c r="G9" s="8" t="str">
        <f aca="false">IF(OR(C9="",D9="",E9=""),"",IF(B9="Fixed",IF(AND(F9=0,C9="No"),"PASS","FAIL"),"n/a"))</f>
        <v/>
      </c>
      <c r="H9" s="10"/>
    </row>
    <row r="10" customFormat="false" ht="23.25" hidden="false" customHeight="true" outlineLevel="0" collapsed="false">
      <c r="A10" s="3" t="s">
        <v>601</v>
      </c>
      <c r="B10" s="3" t="s">
        <v>593</v>
      </c>
      <c r="C10" s="10"/>
      <c r="D10" s="10"/>
      <c r="E10" s="10"/>
      <c r="F10" s="11" t="str">
        <f aca="false">IF(OR(D10="",E10=""),"",E10-D10)</f>
        <v/>
      </c>
      <c r="G10" s="8" t="str">
        <f aca="false">IF(OR(C10="",D10="",E10=""),"",IF(B10="Fixed",IF(AND(F10=0,C10="No"),"PASS","FAIL"),"n/a"))</f>
        <v/>
      </c>
      <c r="H10" s="10"/>
    </row>
    <row r="11" customFormat="false" ht="15" hidden="false" customHeight="true" outlineLevel="0" collapsed="false">
      <c r="A11" s="3" t="s">
        <v>602</v>
      </c>
      <c r="B11" s="3" t="s">
        <v>603</v>
      </c>
      <c r="C11" s="10"/>
      <c r="D11" s="10"/>
      <c r="E11" s="10"/>
      <c r="F11" s="11" t="str">
        <f aca="false">IF(OR(D11="",E11=""),"",E11-D11)</f>
        <v/>
      </c>
      <c r="G11" s="8" t="str">
        <f aca="false">IF(OR(C11="",D11="",E11=""),"",IF(B11="Fixed",IF(AND(F11=0,C11="No"),"PASS","FAIL"),"n/a"))</f>
        <v/>
      </c>
      <c r="H11" s="10"/>
    </row>
    <row r="12" customFormat="false" ht="15" hidden="false" customHeight="true" outlineLevel="0" collapsed="false">
      <c r="A12" s="3" t="s">
        <v>604</v>
      </c>
      <c r="B12" s="3" t="s">
        <v>603</v>
      </c>
      <c r="C12" s="10"/>
      <c r="D12" s="10"/>
      <c r="E12" s="10"/>
      <c r="F12" s="11" t="str">
        <f aca="false">IF(OR(D12="",E12=""),"",E12-D12)</f>
        <v/>
      </c>
      <c r="G12" s="8" t="str">
        <f aca="false">IF(OR(C12="",D12="",E12=""),"",IF(B12="Fixed",IF(AND(F12=0,C12="No"),"PASS","FAIL"),"n/a"))</f>
        <v/>
      </c>
      <c r="H12" s="10"/>
    </row>
    <row r="13" customFormat="false" ht="15" hidden="false" customHeight="true" outlineLevel="0" collapsed="false">
      <c r="A13" s="3" t="s">
        <v>605</v>
      </c>
      <c r="B13" s="3" t="s">
        <v>603</v>
      </c>
      <c r="C13" s="10"/>
      <c r="D13" s="10"/>
      <c r="E13" s="10"/>
      <c r="F13" s="11" t="str">
        <f aca="false">IF(OR(D13="",E13=""),"",E13-D13)</f>
        <v/>
      </c>
      <c r="G13" s="8" t="str">
        <f aca="false">IF(OR(C13="",D13="",E13=""),"",IF(B13="Fixed",IF(AND(F13=0,C13="No"),"PASS","FAIL"),"n/a"))</f>
        <v/>
      </c>
      <c r="H13" s="10"/>
    </row>
    <row r="15" customFormat="false" ht="23.25" hidden="false" customHeight="true" outlineLevel="0" collapsed="false">
      <c r="A15" s="6" t="s">
        <v>606</v>
      </c>
      <c r="B15" s="6"/>
      <c r="C15" s="6"/>
      <c r="D15" s="6"/>
      <c r="E15" s="6"/>
      <c r="F15" s="6"/>
      <c r="G15" s="6"/>
      <c r="H15" s="6"/>
    </row>
  </sheetData>
  <mergeCells count="1">
    <mergeCell ref="A15:H15"/>
  </mergeCells>
  <dataValidations count="1">
    <dataValidation allowBlank="true" errorStyle="stop" operator="between" showDropDown="false" showErrorMessage="false" showInputMessage="false" sqref="C2:C13" type="list">
      <formula1>"Y,N,No,Yes"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1"/>
    <col collapsed="false" customWidth="true" hidden="false" outlineLevel="0" max="3" min="3" style="1" width="9"/>
    <col collapsed="false" customWidth="true" hidden="false" outlineLevel="0" max="4" min="4" style="1" width="14"/>
    <col collapsed="false" customWidth="true" hidden="false" outlineLevel="0" max="5" min="5" style="1" width="11"/>
    <col collapsed="false" customWidth="true" hidden="false" outlineLevel="0" max="6" min="6" style="1" width="34"/>
    <col collapsed="false" customWidth="true" hidden="false" outlineLevel="0" max="7" min="7" style="1" width="18"/>
    <col collapsed="false" customWidth="true" hidden="false" outlineLevel="0" max="8" min="8" style="1" width="30"/>
  </cols>
  <sheetData>
    <row r="1" customFormat="false" ht="26.25" hidden="false" customHeight="true" outlineLevel="0" collapsed="false">
      <c r="A1" s="9" t="s">
        <v>607</v>
      </c>
      <c r="B1" s="9" t="s">
        <v>162</v>
      </c>
      <c r="C1" s="9" t="s">
        <v>41</v>
      </c>
      <c r="D1" s="9" t="s">
        <v>608</v>
      </c>
      <c r="E1" s="9" t="s">
        <v>163</v>
      </c>
      <c r="F1" s="9" t="s">
        <v>609</v>
      </c>
      <c r="G1" s="9" t="s">
        <v>610</v>
      </c>
      <c r="H1" s="9" t="s">
        <v>174</v>
      </c>
    </row>
    <row r="2" customFormat="false" ht="23.25" hidden="false" customHeight="true" outlineLevel="0" collapsed="false">
      <c r="A2" s="6" t="s">
        <v>611</v>
      </c>
      <c r="B2" s="6" t="s">
        <v>176</v>
      </c>
      <c r="C2" s="6" t="s">
        <v>49</v>
      </c>
      <c r="D2" s="6" t="s">
        <v>612</v>
      </c>
      <c r="E2" s="6" t="s">
        <v>177</v>
      </c>
      <c r="F2" s="6" t="s">
        <v>613</v>
      </c>
      <c r="G2" s="6" t="s">
        <v>614</v>
      </c>
      <c r="H2" s="6" t="s">
        <v>615</v>
      </c>
    </row>
    <row r="3" customFormat="false" ht="15" hidden="false" customHeight="true" outlineLevel="0" collapsed="false">
      <c r="A3" s="10"/>
      <c r="B3" s="10"/>
      <c r="C3" s="10"/>
      <c r="D3" s="10"/>
      <c r="E3" s="10"/>
      <c r="F3" s="10"/>
      <c r="G3" s="10"/>
      <c r="H3" s="10"/>
    </row>
    <row r="4" customFormat="false" ht="15" hidden="false" customHeight="true" outlineLevel="0" collapsed="false">
      <c r="A4" s="10"/>
      <c r="B4" s="10"/>
      <c r="C4" s="10"/>
      <c r="D4" s="10"/>
      <c r="E4" s="10"/>
      <c r="F4" s="10"/>
      <c r="G4" s="10"/>
      <c r="H4" s="10"/>
    </row>
    <row r="5" customFormat="false" ht="15" hidden="false" customHeight="true" outlineLevel="0" collapsed="false">
      <c r="A5" s="10"/>
      <c r="B5" s="10"/>
      <c r="C5" s="10"/>
      <c r="D5" s="10"/>
      <c r="E5" s="10"/>
      <c r="F5" s="10"/>
      <c r="G5" s="10"/>
      <c r="H5" s="10"/>
    </row>
    <row r="6" customFormat="false" ht="15" hidden="false" customHeight="true" outlineLevel="0" collapsed="false">
      <c r="A6" s="10"/>
      <c r="B6" s="10"/>
      <c r="C6" s="10"/>
      <c r="D6" s="10"/>
      <c r="E6" s="10"/>
      <c r="F6" s="10"/>
      <c r="G6" s="10"/>
      <c r="H6" s="10"/>
    </row>
    <row r="7" customFormat="false" ht="15" hidden="false" customHeight="true" outlineLevel="0" collapsed="false">
      <c r="A7" s="10"/>
      <c r="B7" s="10"/>
      <c r="C7" s="10"/>
      <c r="D7" s="10"/>
      <c r="E7" s="10"/>
      <c r="F7" s="10"/>
      <c r="G7" s="10"/>
      <c r="H7" s="10"/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0"/>
      <c r="H8" s="10"/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</row>
    <row r="25" customFormat="false" ht="1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</row>
    <row r="27" customFormat="false" ht="1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</row>
    <row r="29" customFormat="false" ht="1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</row>
    <row r="30" customFormat="false" ht="1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</row>
    <row r="31" customFormat="false" ht="1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</row>
    <row r="36" customFormat="false" ht="1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</row>
    <row r="37" customFormat="false" ht="1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</row>
    <row r="38" customFormat="false" ht="1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</row>
    <row r="39" customFormat="false" ht="1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</row>
    <row r="40" customFormat="false" ht="1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</row>
    <row r="41" customFormat="false" ht="1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</row>
    <row r="43" customFormat="false" ht="1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</row>
    <row r="44" customFormat="false" ht="1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</row>
    <row r="45" customFormat="false" ht="1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</row>
    <row r="46" customFormat="false" ht="1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</row>
    <row r="47" customFormat="false" ht="1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</row>
    <row r="48" customFormat="false" ht="1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</row>
    <row r="49" customFormat="false" ht="1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</row>
    <row r="50" customFormat="false" ht="1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</row>
    <row r="51" customFormat="false" ht="1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</row>
    <row r="52" customFormat="false" ht="1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</row>
    <row r="53" customFormat="false" ht="1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</row>
    <row r="54" customFormat="false" ht="1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</row>
    <row r="55" customFormat="false" ht="1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</row>
    <row r="56" customFormat="false" ht="1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</row>
    <row r="57" customFormat="false" ht="1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</row>
    <row r="58" customFormat="false" ht="1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</row>
    <row r="59" customFormat="false" ht="1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</row>
    <row r="60" customFormat="false" ht="1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</row>
    <row r="61" customFormat="false" ht="1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</row>
    <row r="62" customFormat="false" ht="1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</row>
    <row r="63" customFormat="false" ht="1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</row>
    <row r="64" customFormat="false" ht="1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</row>
    <row r="65" customFormat="false" ht="1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</row>
    <row r="66" customFormat="false" ht="1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</row>
    <row r="67" customFormat="false" ht="1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</row>
    <row r="68" customFormat="false" ht="1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</row>
    <row r="69" customFormat="false" ht="15" hidden="false" customHeight="true" outlineLevel="0" collapsed="false">
      <c r="A69" s="10"/>
      <c r="B69" s="10"/>
      <c r="C69" s="10"/>
      <c r="D69" s="10"/>
      <c r="E69" s="10"/>
      <c r="F69" s="10"/>
      <c r="G69" s="10"/>
      <c r="H69" s="10"/>
    </row>
    <row r="70" customFormat="false" ht="1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</row>
    <row r="71" customFormat="false" ht="15" hidden="false" customHeight="true" outlineLevel="0" collapsed="false">
      <c r="A71" s="10"/>
      <c r="B71" s="10"/>
      <c r="C71" s="10"/>
      <c r="D71" s="10"/>
      <c r="E71" s="10"/>
      <c r="F71" s="10"/>
      <c r="G71" s="10"/>
      <c r="H71" s="10"/>
    </row>
    <row r="72" customFormat="false" ht="15" hidden="false" customHeight="true" outlineLevel="0" collapsed="false">
      <c r="A72" s="10"/>
      <c r="B72" s="10"/>
      <c r="C72" s="10"/>
      <c r="D72" s="10"/>
      <c r="E72" s="10"/>
      <c r="F72" s="10"/>
      <c r="G72" s="10"/>
      <c r="H72" s="10"/>
    </row>
    <row r="73" customFormat="false" ht="1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</row>
    <row r="74" customFormat="false" ht="1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</row>
    <row r="75" customFormat="false" ht="15" hidden="false" customHeight="true" outlineLevel="0" collapsed="false">
      <c r="A75" s="10"/>
      <c r="B75" s="10"/>
      <c r="C75" s="10"/>
      <c r="D75" s="10"/>
      <c r="E75" s="10"/>
      <c r="F75" s="10"/>
      <c r="G75" s="10"/>
      <c r="H75" s="10"/>
    </row>
    <row r="76" customFormat="false" ht="15" hidden="false" customHeight="true" outlineLevel="0" collapsed="false">
      <c r="A76" s="10"/>
      <c r="B76" s="10"/>
      <c r="C76" s="10"/>
      <c r="D76" s="10"/>
      <c r="E76" s="10"/>
      <c r="F76" s="10"/>
      <c r="G76" s="10"/>
      <c r="H76" s="10"/>
    </row>
    <row r="77" customFormat="false" ht="15" hidden="false" customHeight="true" outlineLevel="0" collapsed="false">
      <c r="A77" s="10"/>
      <c r="B77" s="10"/>
      <c r="C77" s="10"/>
      <c r="D77" s="10"/>
      <c r="E77" s="10"/>
      <c r="F77" s="10"/>
      <c r="G77" s="10"/>
      <c r="H77" s="10"/>
    </row>
    <row r="78" customFormat="false" ht="1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</row>
    <row r="79" customFormat="false" ht="1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</row>
    <row r="80" customFormat="false" ht="1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</row>
    <row r="81" customFormat="false" ht="1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</row>
    <row r="82" customFormat="false" ht="1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</row>
    <row r="83" customFormat="false" ht="1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</row>
    <row r="84" customFormat="false" ht="1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</row>
    <row r="85" customFormat="false" ht="1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</row>
    <row r="86" customFormat="false" ht="1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</row>
    <row r="87" customFormat="false" ht="1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</row>
    <row r="88" customFormat="false" ht="1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</row>
    <row r="89" customFormat="false" ht="1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</row>
    <row r="90" customFormat="false" ht="1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</row>
    <row r="91" customFormat="false" ht="1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</row>
    <row r="92" customFormat="false" ht="1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</row>
    <row r="93" customFormat="false" ht="1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</row>
    <row r="94" customFormat="false" ht="1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</row>
    <row r="95" customFormat="false" ht="1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</row>
    <row r="96" customFormat="false" ht="1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</row>
    <row r="97" customFormat="false" ht="1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</row>
    <row r="98" customFormat="false" ht="1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</row>
    <row r="99" customFormat="false" ht="1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</row>
    <row r="100" customFormat="false" ht="1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</row>
    <row r="101" customFormat="false" ht="1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</row>
    <row r="102" customFormat="false" ht="1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</row>
    <row r="103" customFormat="false" ht="1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</row>
    <row r="104" customFormat="false" ht="1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</row>
    <row r="105" customFormat="false" ht="1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</row>
    <row r="106" customFormat="false" ht="1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</row>
    <row r="107" customFormat="false" ht="1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</row>
    <row r="108" customFormat="false" ht="1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</row>
    <row r="109" customFormat="false" ht="1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</row>
    <row r="110" customFormat="false" ht="1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</row>
    <row r="111" customFormat="false" ht="1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</row>
    <row r="112" customFormat="false" ht="1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</row>
    <row r="113" customFormat="false" ht="1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</row>
    <row r="114" customFormat="false" ht="1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</row>
    <row r="115" customFormat="false" ht="1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</row>
    <row r="116" customFormat="false" ht="1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</row>
    <row r="117" customFormat="false" ht="1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</row>
    <row r="118" customFormat="false" ht="1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</row>
    <row r="119" customFormat="false" ht="1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</row>
    <row r="120" customFormat="false" ht="1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</row>
    <row r="121" customFormat="false" ht="1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</row>
    <row r="122" customFormat="false" ht="1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</row>
    <row r="123" customFormat="false" ht="1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</row>
    <row r="124" customFormat="false" ht="1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</row>
    <row r="125" customFormat="false" ht="1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</row>
    <row r="126" customFormat="false" ht="1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</row>
    <row r="127" customFormat="false" ht="1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</row>
    <row r="128" customFormat="false" ht="1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</row>
    <row r="129" customFormat="false" ht="1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</row>
    <row r="130" customFormat="false" ht="1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</row>
    <row r="131" customFormat="false" ht="1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</row>
    <row r="132" customFormat="false" ht="1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</row>
    <row r="133" customFormat="false" ht="1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</row>
    <row r="134" customFormat="false" ht="1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</row>
    <row r="135" customFormat="false" ht="1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</row>
    <row r="136" customFormat="false" ht="1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</row>
    <row r="137" customFormat="false" ht="1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</row>
    <row r="138" customFormat="false" ht="1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</row>
    <row r="139" customFormat="false" ht="1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</row>
    <row r="140" customFormat="false" ht="1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</row>
    <row r="141" customFormat="false" ht="1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</row>
    <row r="142" customFormat="false" ht="1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</row>
    <row r="143" customFormat="false" ht="1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</row>
    <row r="144" customFormat="false" ht="1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</row>
    <row r="145" customFormat="false" ht="1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</row>
    <row r="146" customFormat="false" ht="1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</row>
    <row r="147" customFormat="false" ht="1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</row>
    <row r="148" customFormat="false" ht="1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</row>
    <row r="149" customFormat="false" ht="1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</row>
    <row r="150" customFormat="false" ht="1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</row>
    <row r="151" customFormat="false" ht="1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</row>
    <row r="152" customFormat="false" ht="1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</row>
    <row r="153" customFormat="false" ht="1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</row>
    <row r="154" customFormat="false" ht="1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</row>
    <row r="155" customFormat="false" ht="1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</row>
    <row r="156" customFormat="false" ht="1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</row>
    <row r="157" customFormat="false" ht="1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</row>
    <row r="158" customFormat="false" ht="1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</row>
    <row r="159" customFormat="false" ht="1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</row>
    <row r="160" customFormat="false" ht="1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</row>
    <row r="161" customFormat="false" ht="1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</row>
    <row r="162" customFormat="false" ht="1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</row>
    <row r="163" customFormat="false" ht="1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</row>
    <row r="164" customFormat="false" ht="1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</row>
    <row r="165" customFormat="false" ht="1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</row>
    <row r="166" customFormat="false" ht="1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</row>
    <row r="167" customFormat="false" ht="1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</row>
    <row r="168" customFormat="false" ht="1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</row>
    <row r="169" customFormat="false" ht="1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</row>
    <row r="170" customFormat="false" ht="1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</row>
    <row r="171" customFormat="false" ht="1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</row>
    <row r="172" customFormat="false" ht="1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</row>
    <row r="173" customFormat="false" ht="1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</row>
    <row r="174" customFormat="false" ht="1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</row>
    <row r="175" customFormat="false" ht="1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</row>
    <row r="176" customFormat="false" ht="1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</row>
    <row r="177" customFormat="false" ht="1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</row>
    <row r="178" customFormat="false" ht="1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</row>
    <row r="179" customFormat="false" ht="1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</row>
    <row r="180" customFormat="false" ht="1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</row>
    <row r="181" customFormat="false" ht="1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</row>
    <row r="182" customFormat="false" ht="1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</row>
    <row r="183" customFormat="false" ht="1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</row>
    <row r="184" customFormat="false" ht="1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</row>
    <row r="185" customFormat="false" ht="1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</row>
    <row r="186" customFormat="false" ht="1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</row>
    <row r="187" customFormat="false" ht="1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</row>
    <row r="188" customFormat="false" ht="1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</row>
    <row r="189" customFormat="false" ht="1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</row>
    <row r="190" customFormat="false" ht="1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</row>
    <row r="191" customFormat="false" ht="1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</row>
    <row r="192" customFormat="false" ht="1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</row>
    <row r="193" customFormat="false" ht="1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</row>
    <row r="194" customFormat="false" ht="1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</row>
    <row r="195" customFormat="false" ht="1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</row>
    <row r="196" customFormat="false" ht="1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</row>
    <row r="197" customFormat="false" ht="1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</row>
    <row r="198" customFormat="false" ht="1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</row>
    <row r="199" customFormat="false" ht="1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</row>
    <row r="200" customFormat="false" ht="1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</row>
  </sheetData>
  <dataValidations count="1">
    <dataValidation allowBlank="true" errorStyle="stop" operator="between" showDropDown="false" showErrorMessage="false" showInputMessage="false" sqref="E3:E200" type="list">
      <formula1>"web,iOS,Android,mobile-web"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3" min="3" style="1" width="16"/>
    <col collapsed="false" customWidth="true" hidden="false" outlineLevel="0" max="4" min="4" style="1" width="9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24"/>
    <col collapsed="false" customWidth="true" hidden="false" outlineLevel="0" max="8" min="8" style="1" width="28"/>
  </cols>
  <sheetData>
    <row r="1" customFormat="false" ht="26.25" hidden="false" customHeight="true" outlineLevel="0" collapsed="false">
      <c r="A1" s="9" t="s">
        <v>616</v>
      </c>
      <c r="B1" s="9" t="s">
        <v>162</v>
      </c>
      <c r="C1" s="9" t="s">
        <v>617</v>
      </c>
      <c r="D1" s="9" t="s">
        <v>41</v>
      </c>
      <c r="E1" s="9" t="s">
        <v>618</v>
      </c>
      <c r="F1" s="9" t="s">
        <v>619</v>
      </c>
      <c r="G1" s="9" t="s">
        <v>620</v>
      </c>
      <c r="H1" s="9" t="s">
        <v>174</v>
      </c>
    </row>
    <row r="2" customFormat="false" ht="23.25" hidden="false" customHeight="true" outlineLevel="0" collapsed="false">
      <c r="A2" s="6" t="s">
        <v>621</v>
      </c>
      <c r="B2" s="6" t="s">
        <v>622</v>
      </c>
      <c r="C2" s="6" t="s">
        <v>175</v>
      </c>
      <c r="D2" s="6" t="s">
        <v>83</v>
      </c>
      <c r="E2" s="6" t="s">
        <v>591</v>
      </c>
      <c r="F2" s="6" t="s">
        <v>623</v>
      </c>
      <c r="G2" s="6" t="s">
        <v>624</v>
      </c>
      <c r="H2" s="6" t="s">
        <v>625</v>
      </c>
    </row>
    <row r="3" customFormat="false" ht="15" hidden="false" customHeight="true" outlineLevel="0" collapsed="false">
      <c r="A3" s="10" t="s">
        <v>195</v>
      </c>
      <c r="B3" s="10" t="s">
        <v>186</v>
      </c>
      <c r="C3" s="10" t="s">
        <v>626</v>
      </c>
      <c r="D3" s="10" t="s">
        <v>627</v>
      </c>
      <c r="E3" s="10" t="s">
        <v>591</v>
      </c>
      <c r="F3" s="10" t="s">
        <v>628</v>
      </c>
      <c r="G3" s="10" t="s">
        <v>629</v>
      </c>
      <c r="H3" s="10" t="s">
        <v>630</v>
      </c>
    </row>
    <row r="4" customFormat="false" ht="15" hidden="false" customHeight="true" outlineLevel="0" collapsed="false">
      <c r="A4" s="10" t="s">
        <v>217</v>
      </c>
      <c r="B4" s="10" t="s">
        <v>186</v>
      </c>
      <c r="C4" s="10" t="s">
        <v>631</v>
      </c>
      <c r="D4" s="10" t="s">
        <v>632</v>
      </c>
      <c r="E4" s="10" t="s">
        <v>591</v>
      </c>
      <c r="F4" s="10" t="s">
        <v>633</v>
      </c>
      <c r="G4" s="10" t="s">
        <v>634</v>
      </c>
      <c r="H4" s="10" t="s">
        <v>635</v>
      </c>
    </row>
    <row r="5" customFormat="false" ht="15" hidden="false" customHeight="true" outlineLevel="0" collapsed="false">
      <c r="A5" s="10"/>
      <c r="B5" s="10"/>
      <c r="C5" s="10"/>
      <c r="D5" s="10"/>
      <c r="E5" s="10"/>
      <c r="F5" s="10"/>
      <c r="G5" s="10"/>
      <c r="H5" s="10"/>
    </row>
    <row r="6" customFormat="false" ht="15" hidden="false" customHeight="true" outlineLevel="0" collapsed="false">
      <c r="A6" s="10"/>
      <c r="B6" s="10"/>
      <c r="C6" s="10"/>
      <c r="D6" s="10"/>
      <c r="E6" s="10"/>
      <c r="F6" s="10"/>
      <c r="G6" s="10"/>
      <c r="H6" s="10"/>
    </row>
    <row r="7" customFormat="false" ht="15" hidden="false" customHeight="true" outlineLevel="0" collapsed="false">
      <c r="A7" s="10"/>
      <c r="B7" s="10"/>
      <c r="C7" s="10"/>
      <c r="D7" s="10"/>
      <c r="E7" s="10"/>
      <c r="F7" s="10"/>
      <c r="G7" s="10"/>
      <c r="H7" s="10"/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0"/>
      <c r="H8" s="10"/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</row>
    <row r="25" customFormat="false" ht="1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</row>
    <row r="27" customFormat="false" ht="1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</row>
    <row r="29" customFormat="false" ht="1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</row>
    <row r="30" customFormat="false" ht="1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</row>
    <row r="31" customFormat="false" ht="1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</row>
    <row r="36" customFormat="false" ht="1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</row>
    <row r="37" customFormat="false" ht="1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</row>
    <row r="38" customFormat="false" ht="1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</row>
    <row r="39" customFormat="false" ht="1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</row>
    <row r="40" customFormat="false" ht="1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</row>
    <row r="41" customFormat="false" ht="1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</row>
    <row r="43" customFormat="false" ht="1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</row>
    <row r="44" customFormat="false" ht="1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</row>
    <row r="45" customFormat="false" ht="1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</row>
    <row r="46" customFormat="false" ht="1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</row>
    <row r="47" customFormat="false" ht="1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</row>
    <row r="48" customFormat="false" ht="1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</row>
    <row r="49" customFormat="false" ht="1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</row>
    <row r="50" customFormat="false" ht="1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</row>
    <row r="51" customFormat="false" ht="1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</row>
    <row r="52" customFormat="false" ht="1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</row>
    <row r="53" customFormat="false" ht="1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</row>
    <row r="54" customFormat="false" ht="1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</row>
    <row r="55" customFormat="false" ht="1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</row>
    <row r="56" customFormat="false" ht="1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</row>
    <row r="57" customFormat="false" ht="1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</row>
    <row r="58" customFormat="false" ht="1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</row>
    <row r="59" customFormat="false" ht="1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</row>
    <row r="60" customFormat="false" ht="1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</row>
    <row r="61" customFormat="false" ht="1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</row>
    <row r="62" customFormat="false" ht="1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</row>
    <row r="63" customFormat="false" ht="1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</row>
    <row r="64" customFormat="false" ht="1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</row>
    <row r="65" customFormat="false" ht="1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</row>
    <row r="66" customFormat="false" ht="1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</row>
    <row r="67" customFormat="false" ht="1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</row>
    <row r="68" customFormat="false" ht="1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</row>
    <row r="69" customFormat="false" ht="15" hidden="false" customHeight="true" outlineLevel="0" collapsed="false">
      <c r="A69" s="10"/>
      <c r="B69" s="10"/>
      <c r="C69" s="10"/>
      <c r="D69" s="10"/>
      <c r="E69" s="10"/>
      <c r="F69" s="10"/>
      <c r="G69" s="10"/>
      <c r="H69" s="10"/>
    </row>
    <row r="70" customFormat="false" ht="1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</row>
    <row r="71" customFormat="false" ht="15" hidden="false" customHeight="true" outlineLevel="0" collapsed="false">
      <c r="A71" s="10"/>
      <c r="B71" s="10"/>
      <c r="C71" s="10"/>
      <c r="D71" s="10"/>
      <c r="E71" s="10"/>
      <c r="F71" s="10"/>
      <c r="G71" s="10"/>
      <c r="H71" s="10"/>
    </row>
    <row r="72" customFormat="false" ht="15" hidden="false" customHeight="true" outlineLevel="0" collapsed="false">
      <c r="A72" s="10"/>
      <c r="B72" s="10"/>
      <c r="C72" s="10"/>
      <c r="D72" s="10"/>
      <c r="E72" s="10"/>
      <c r="F72" s="10"/>
      <c r="G72" s="10"/>
      <c r="H72" s="10"/>
    </row>
    <row r="73" customFormat="false" ht="1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</row>
    <row r="74" customFormat="false" ht="1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</row>
    <row r="75" customFormat="false" ht="15" hidden="false" customHeight="true" outlineLevel="0" collapsed="false">
      <c r="A75" s="10"/>
      <c r="B75" s="10"/>
      <c r="C75" s="10"/>
      <c r="D75" s="10"/>
      <c r="E75" s="10"/>
      <c r="F75" s="10"/>
      <c r="G75" s="10"/>
      <c r="H75" s="10"/>
    </row>
    <row r="76" customFormat="false" ht="15" hidden="false" customHeight="true" outlineLevel="0" collapsed="false">
      <c r="A76" s="10"/>
      <c r="B76" s="10"/>
      <c r="C76" s="10"/>
      <c r="D76" s="10"/>
      <c r="E76" s="10"/>
      <c r="F76" s="10"/>
      <c r="G76" s="10"/>
      <c r="H76" s="10"/>
    </row>
    <row r="77" customFormat="false" ht="15" hidden="false" customHeight="true" outlineLevel="0" collapsed="false">
      <c r="A77" s="10"/>
      <c r="B77" s="10"/>
      <c r="C77" s="10"/>
      <c r="D77" s="10"/>
      <c r="E77" s="10"/>
      <c r="F77" s="10"/>
      <c r="G77" s="10"/>
      <c r="H77" s="10"/>
    </row>
    <row r="78" customFormat="false" ht="1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</row>
    <row r="79" customFormat="false" ht="1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</row>
    <row r="80" customFormat="false" ht="1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</row>
    <row r="81" customFormat="false" ht="1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</row>
    <row r="82" customFormat="false" ht="1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</row>
    <row r="83" customFormat="false" ht="1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</row>
    <row r="84" customFormat="false" ht="1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</row>
    <row r="85" customFormat="false" ht="1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</row>
    <row r="86" customFormat="false" ht="1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</row>
    <row r="87" customFormat="false" ht="1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</row>
    <row r="88" customFormat="false" ht="1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</row>
    <row r="89" customFormat="false" ht="1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</row>
    <row r="90" customFormat="false" ht="1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</row>
    <row r="91" customFormat="false" ht="1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</row>
    <row r="92" customFormat="false" ht="1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</row>
    <row r="93" customFormat="false" ht="1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</row>
    <row r="94" customFormat="false" ht="1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</row>
    <row r="95" customFormat="false" ht="1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</row>
    <row r="96" customFormat="false" ht="1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</row>
    <row r="97" customFormat="false" ht="1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</row>
    <row r="98" customFormat="false" ht="1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</row>
    <row r="99" customFormat="false" ht="1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</row>
    <row r="100" customFormat="false" ht="1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</row>
  </sheetData>
  <dataValidations count="1">
    <dataValidation allowBlank="true" errorStyle="stop" operator="between" showDropDown="false" showErrorMessage="false" showInputMessage="false" sqref="E3:E100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2026-08-17T00:06:47Z</dcterms:created>
  <dc:creator>openpyxl</dc:creator>
  <dc:description/>
  <dc:language>en-US</dc:language>
  <cp:lastModifiedBy/>
  <dcterms:modified xsi:type="dcterms:W3CDTF">2026-08-17T00:55:33Z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